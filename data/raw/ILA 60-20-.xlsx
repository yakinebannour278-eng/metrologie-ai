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 47b" sheetId="1" r:id="rId4"/>
    <sheet state="visible" name="lab 47a" sheetId="2" r:id="rId5"/>
    <sheet state="visible" name="lab 19B" sheetId="3" r:id="rId6"/>
    <sheet state="visible" name="lab 19A" sheetId="4" r:id="rId7"/>
    <sheet state="visible" name="lab 145" sheetId="5" r:id="rId8"/>
    <sheet state="visible" name="lab 62" sheetId="6" r:id="rId9"/>
    <sheet state="visible" name="lab 82" sheetId="7" r:id="rId10"/>
    <sheet state="visible" name="lab 83" sheetId="8" r:id="rId11"/>
    <sheet state="visible" name="lab 83A cong" sheetId="9" r:id="rId12"/>
    <sheet state="visible" name="lab 08B" sheetId="10" r:id="rId13"/>
    <sheet state="visible" name="lab 08A" sheetId="11" r:id="rId14"/>
    <sheet state="visible" name="lab 03B" sheetId="12" r:id="rId15"/>
    <sheet state="visible" name="LAB 11B" sheetId="13" r:id="rId16"/>
    <sheet state="visible" name="lab 20B" sheetId="14" r:id="rId17"/>
    <sheet state="visible" name="lab 84" sheetId="15" r:id="rId18"/>
    <sheet state="visible" name="Feuil1" sheetId="16" r:id="rId19"/>
  </sheets>
  <definedNames/>
  <calcPr/>
  <extLst>
    <ext uri="GoogleSheetsCustomDataVersion2">
      <go:sheetsCustomData xmlns:go="http://customooxmlschemas.google.com/" r:id="rId20" roundtripDataChecksum="95QLKJhDnBkYL5syLSPwIAaa0jfKZ66OOW3CQCL9P5s="/>
    </ext>
  </extLst>
</workbook>
</file>

<file path=xl/sharedStrings.xml><?xml version="1.0" encoding="utf-8"?>
<sst xmlns="http://schemas.openxmlformats.org/spreadsheetml/2006/main" count="231" uniqueCount="32">
  <si>
    <t>UNPA</t>
  </si>
  <si>
    <t>Manuel des instructions</t>
  </si>
  <si>
    <t>Document</t>
  </si>
  <si>
    <t>Page 1 sur 1</t>
  </si>
  <si>
    <t>ILA 60</t>
  </si>
  <si>
    <t>Analyse des résultats d’étalonnage et/ou de vérification</t>
  </si>
  <si>
    <t>Date</t>
  </si>
  <si>
    <t>Edition</t>
  </si>
  <si>
    <t>N° cellule</t>
  </si>
  <si>
    <t>T° ref</t>
  </si>
  <si>
    <t>incertitude</t>
  </si>
  <si>
    <t>min</t>
  </si>
  <si>
    <t>max</t>
  </si>
  <si>
    <t>conformité</t>
  </si>
  <si>
    <t>point</t>
  </si>
  <si>
    <t>confotmité</t>
  </si>
  <si>
    <t xml:space="preserve"> </t>
  </si>
  <si>
    <t>conforme</t>
  </si>
  <si>
    <t xml:space="preserve">consigne </t>
  </si>
  <si>
    <t>conformité sans tenir compte de l'incertitude</t>
  </si>
  <si>
    <t xml:space="preserve">indication </t>
  </si>
  <si>
    <t>T° lue</t>
  </si>
  <si>
    <t>au fond</t>
  </si>
  <si>
    <t>milieu</t>
  </si>
  <si>
    <t>en avant</t>
  </si>
  <si>
    <t>lab 08B</t>
  </si>
  <si>
    <t>lab 08A</t>
  </si>
  <si>
    <t>PETRIN</t>
  </si>
  <si>
    <t>Tlue</t>
  </si>
  <si>
    <t>chambre de fermentation</t>
  </si>
  <si>
    <t>T lue</t>
  </si>
  <si>
    <t>Correction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</si>
</sst>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"/>
  </numFmts>
  <fonts count="9">
    <font>
      <sz val="11.0"/>
      <color theme="1"/>
      <name val="Calibri"/>
      <scheme val="minor"/>
    </font>
    <font>
      <sz val="12.0"/>
      <color theme="1"/>
      <name val="Times New Roman"/>
    </font>
    <font/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FF0000"/>
      <name val="Calibri"/>
    </font>
    <font>
      <sz val="11.0"/>
      <color rgb="FF00B050"/>
      <name val="Calibri"/>
    </font>
    <font>
      <b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7" fillId="0" fontId="2" numFmtId="0" xfId="0" applyBorder="1" applyFont="1"/>
    <xf borderId="7" fillId="0" fontId="1" numFmtId="164" xfId="0" applyAlignment="1" applyBorder="1" applyFont="1" applyNumberFormat="1">
      <alignment horizontal="center" shrinkToFit="0" vertical="center" wrapText="1"/>
    </xf>
    <xf borderId="0" fillId="0" fontId="3" numFmtId="0" xfId="0" applyFont="1"/>
    <xf borderId="11" fillId="2" fontId="4" numFmtId="0" xfId="0" applyBorder="1" applyFill="1" applyFont="1"/>
    <xf borderId="0" fillId="0" fontId="4" numFmtId="0" xfId="0" applyFont="1"/>
    <xf borderId="5" fillId="0" fontId="1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5" numFmtId="0" xfId="0" applyFont="1"/>
    <xf borderId="0" fillId="0" fontId="5" numFmtId="0" xfId="0" applyAlignment="1" applyFont="1">
      <alignment horizontal="left"/>
    </xf>
    <xf borderId="13" fillId="3" fontId="4" numFmtId="0" xfId="0" applyAlignment="1" applyBorder="1" applyFill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0" fillId="0" fontId="4" numFmtId="16" xfId="0" applyFont="1" applyNumberFormat="1"/>
    <xf borderId="0" fillId="0" fontId="4" numFmtId="165" xfId="0" applyAlignment="1" applyFont="1" applyNumberFormat="1">
      <alignment horizontal="center"/>
    </xf>
    <xf borderId="0" fillId="0" fontId="6" numFmtId="0" xfId="0" applyFont="1"/>
    <xf borderId="0" fillId="0" fontId="4" numFmtId="0" xfId="0" applyAlignment="1" applyFont="1">
      <alignment shrinkToFit="0" wrapText="1"/>
    </xf>
    <xf borderId="0" fillId="0" fontId="7" numFmtId="0" xfId="0" applyFont="1"/>
    <xf borderId="0" fillId="0" fontId="8" numFmtId="0" xfId="0" applyAlignment="1" applyFont="1">
      <alignment horizontal="center" vertical="center"/>
    </xf>
    <xf borderId="21" fillId="0" fontId="5" numFmtId="0" xfId="0" applyBorder="1" applyFont="1"/>
    <xf borderId="2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T° ref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trendline>
            <c:name>Linear (T° ref)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Feuil1!$E$7:$E$8</c:f>
            </c:strRef>
          </c:cat>
          <c:val>
            <c:numRef>
              <c:f>Feuil1!$D$7:$D$8</c:f>
              <c:numCache/>
            </c:numRef>
          </c:val>
          <c:smooth val="0"/>
        </c:ser>
        <c:axId val="1305742196"/>
        <c:axId val="121809224"/>
      </c:lineChart>
      <c:catAx>
        <c:axId val="1305742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809224"/>
      </c:catAx>
      <c:valAx>
        <c:axId val="121809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574219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17</xdr:row>
      <xdr:rowOff>161925</xdr:rowOff>
    </xdr:from>
    <xdr:ext cx="2886075" cy="2381250"/>
    <xdr:sp>
      <xdr:nvSpPr>
        <xdr:cNvPr id="3" name="Shape 3"/>
        <xdr:cNvSpPr/>
      </xdr:nvSpPr>
      <xdr:spPr>
        <a:xfrm>
          <a:off x="3912488" y="2603663"/>
          <a:ext cx="2867025" cy="2352675"/>
        </a:xfrm>
        <a:prstGeom prst="cube">
          <a:avLst>
            <a:gd fmla="val 25000" name="adj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17</xdr:row>
      <xdr:rowOff>161925</xdr:rowOff>
    </xdr:from>
    <xdr:ext cx="2847975" cy="2381250"/>
    <xdr:sp>
      <xdr:nvSpPr>
        <xdr:cNvPr id="4" name="Shape 4"/>
        <xdr:cNvSpPr/>
      </xdr:nvSpPr>
      <xdr:spPr>
        <a:xfrm>
          <a:off x="3931538" y="2603663"/>
          <a:ext cx="2828925" cy="2352675"/>
        </a:xfrm>
        <a:prstGeom prst="cube">
          <a:avLst>
            <a:gd fmla="val 25000" name="adj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438150</xdr:colOff>
      <xdr:row>17</xdr:row>
      <xdr:rowOff>47625</xdr:rowOff>
    </xdr:from>
    <xdr:ext cx="314325" cy="333375"/>
    <xdr:sp>
      <xdr:nvSpPr>
        <xdr:cNvPr id="5" name="Shape 5"/>
        <xdr:cNvSpPr/>
      </xdr:nvSpPr>
      <xdr:spPr>
        <a:xfrm>
          <a:off x="5198363" y="3622838"/>
          <a:ext cx="295275" cy="314325"/>
        </a:xfrm>
        <a:prstGeom prst="ellipse">
          <a:avLst/>
        </a:prstGeom>
        <a:solidFill>
          <a:srgbClr val="FF0000"/>
        </a:solidFill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733425</xdr:colOff>
      <xdr:row>16</xdr:row>
      <xdr:rowOff>66675</xdr:rowOff>
    </xdr:from>
    <xdr:ext cx="323850" cy="352425"/>
    <xdr:sp>
      <xdr:nvSpPr>
        <xdr:cNvPr id="6" name="Shape 6"/>
        <xdr:cNvSpPr/>
      </xdr:nvSpPr>
      <xdr:spPr>
        <a:xfrm>
          <a:off x="5198363" y="3618075"/>
          <a:ext cx="295275" cy="323850"/>
        </a:xfrm>
        <a:prstGeom prst="ellipse">
          <a:avLst/>
        </a:prstGeom>
        <a:solidFill>
          <a:srgbClr val="FF0000"/>
        </a:solidFill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17</xdr:row>
      <xdr:rowOff>161925</xdr:rowOff>
    </xdr:from>
    <xdr:ext cx="2476500" cy="2381250"/>
    <xdr:sp>
      <xdr:nvSpPr>
        <xdr:cNvPr id="7" name="Shape 7"/>
        <xdr:cNvSpPr/>
      </xdr:nvSpPr>
      <xdr:spPr>
        <a:xfrm>
          <a:off x="4117275" y="2603663"/>
          <a:ext cx="2457450" cy="2352675"/>
        </a:xfrm>
        <a:prstGeom prst="cube">
          <a:avLst>
            <a:gd fmla="val 25000" name="adj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17</xdr:row>
      <xdr:rowOff>161925</xdr:rowOff>
    </xdr:from>
    <xdr:ext cx="2476500" cy="2381250"/>
    <xdr:sp>
      <xdr:nvSpPr>
        <xdr:cNvPr id="7" name="Shape 7"/>
        <xdr:cNvSpPr/>
      </xdr:nvSpPr>
      <xdr:spPr>
        <a:xfrm>
          <a:off x="4117275" y="2603663"/>
          <a:ext cx="2457450" cy="2352675"/>
        </a:xfrm>
        <a:prstGeom prst="cube">
          <a:avLst>
            <a:gd fmla="val 25000" name="adj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18</xdr:row>
      <xdr:rowOff>161925</xdr:rowOff>
    </xdr:from>
    <xdr:ext cx="2790825" cy="2381250"/>
    <xdr:sp>
      <xdr:nvSpPr>
        <xdr:cNvPr id="8" name="Shape 8"/>
        <xdr:cNvSpPr/>
      </xdr:nvSpPr>
      <xdr:spPr>
        <a:xfrm>
          <a:off x="3960113" y="2603663"/>
          <a:ext cx="2771775" cy="2352675"/>
        </a:xfrm>
        <a:prstGeom prst="cube">
          <a:avLst>
            <a:gd fmla="val 25000" name="adj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18</xdr:row>
      <xdr:rowOff>161925</xdr:rowOff>
    </xdr:from>
    <xdr:ext cx="2800350" cy="2381250"/>
    <xdr:sp>
      <xdr:nvSpPr>
        <xdr:cNvPr id="9" name="Shape 9"/>
        <xdr:cNvSpPr/>
      </xdr:nvSpPr>
      <xdr:spPr>
        <a:xfrm>
          <a:off x="3955350" y="2603663"/>
          <a:ext cx="2781300" cy="2352675"/>
        </a:xfrm>
        <a:prstGeom prst="cube">
          <a:avLst>
            <a:gd fmla="val 25000" name="adj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18</xdr:row>
      <xdr:rowOff>161925</xdr:rowOff>
    </xdr:from>
    <xdr:ext cx="2800350" cy="2381250"/>
    <xdr:sp>
      <xdr:nvSpPr>
        <xdr:cNvPr id="10" name="Shape 10"/>
        <xdr:cNvSpPr/>
      </xdr:nvSpPr>
      <xdr:spPr>
        <a:xfrm>
          <a:off x="3955350" y="2603663"/>
          <a:ext cx="2781300" cy="2352675"/>
        </a:xfrm>
        <a:prstGeom prst="cube">
          <a:avLst>
            <a:gd fmla="val 25000" name="adj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13</xdr:row>
      <xdr:rowOff>47625</xdr:rowOff>
    </xdr:from>
    <xdr:ext cx="2809875" cy="2381250"/>
    <xdr:sp>
      <xdr:nvSpPr>
        <xdr:cNvPr id="11" name="Shape 11"/>
        <xdr:cNvSpPr/>
      </xdr:nvSpPr>
      <xdr:spPr>
        <a:xfrm>
          <a:off x="3955350" y="2603663"/>
          <a:ext cx="2781300" cy="2352675"/>
        </a:xfrm>
        <a:prstGeom prst="cube">
          <a:avLst>
            <a:gd fmla="val 25000" name="adj"/>
          </a:avLst>
        </a:prstGeom>
        <a:solidFill>
          <a:srgbClr val="92D050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14</xdr:row>
      <xdr:rowOff>0</xdr:rowOff>
    </xdr:from>
    <xdr:ext cx="2809875" cy="2362200"/>
    <xdr:sp>
      <xdr:nvSpPr>
        <xdr:cNvPr id="12" name="Shape 12"/>
        <xdr:cNvSpPr/>
      </xdr:nvSpPr>
      <xdr:spPr>
        <a:xfrm>
          <a:off x="3955350" y="2608425"/>
          <a:ext cx="2781300" cy="2343150"/>
        </a:xfrm>
        <a:prstGeom prst="cube">
          <a:avLst>
            <a:gd fmla="val 25000" name="adj"/>
          </a:avLst>
        </a:prstGeom>
        <a:solidFill>
          <a:srgbClr val="92D050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6</xdr:row>
      <xdr:rowOff>152400</xdr:rowOff>
    </xdr:from>
    <xdr:ext cx="4572000" cy="2886075"/>
    <xdr:graphicFrame>
      <xdr:nvGraphicFramePr>
        <xdr:cNvPr id="134619987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0.86"/>
    <col customWidth="1" min="4" max="4" width="9.14"/>
    <col customWidth="1" min="5" max="5" width="18.57"/>
    <col customWidth="1" min="6" max="6" width="18.43"/>
    <col customWidth="1" min="7" max="7" width="14.0"/>
    <col customWidth="1" min="8" max="26" width="9.14"/>
  </cols>
  <sheetData>
    <row r="1" ht="24.75" customHeight="1">
      <c r="A1" s="1" t="s">
        <v>0</v>
      </c>
      <c r="B1" s="1" t="s">
        <v>1</v>
      </c>
      <c r="C1" s="2"/>
      <c r="D1" s="2"/>
      <c r="E1" s="3"/>
      <c r="F1" s="4" t="s">
        <v>2</v>
      </c>
      <c r="G1" s="5" t="s">
        <v>3</v>
      </c>
    </row>
    <row r="2">
      <c r="A2" s="6"/>
      <c r="B2" s="6"/>
      <c r="E2" s="7"/>
      <c r="F2" s="8" t="s">
        <v>4</v>
      </c>
      <c r="G2" s="9"/>
    </row>
    <row r="3" ht="42.75" customHeight="1">
      <c r="A3" s="6"/>
      <c r="B3" s="1" t="s">
        <v>5</v>
      </c>
      <c r="C3" s="2"/>
      <c r="D3" s="2"/>
      <c r="E3" s="3"/>
      <c r="F3" s="10" t="s">
        <v>6</v>
      </c>
      <c r="G3" s="10" t="s">
        <v>7</v>
      </c>
    </row>
    <row r="4" ht="21.75" customHeight="1">
      <c r="A4" s="11"/>
      <c r="B4" s="11"/>
      <c r="C4" s="12"/>
      <c r="D4" s="12"/>
      <c r="E4" s="13"/>
      <c r="F4" s="14">
        <v>42829.0</v>
      </c>
      <c r="G4" s="8">
        <v>1.0</v>
      </c>
    </row>
    <row r="7">
      <c r="A7" s="15" t="s">
        <v>8</v>
      </c>
      <c r="B7" s="15" t="s">
        <v>9</v>
      </c>
      <c r="C7" s="15" t="s">
        <v>10</v>
      </c>
      <c r="D7" s="15" t="s">
        <v>11</v>
      </c>
      <c r="E7" s="15" t="s">
        <v>12</v>
      </c>
    </row>
    <row r="8">
      <c r="A8" s="15">
        <v>1.0</v>
      </c>
      <c r="B8" s="15">
        <v>132.0</v>
      </c>
      <c r="C8" s="15">
        <v>0.35</v>
      </c>
      <c r="D8" s="15">
        <f t="shared" ref="D8:D17" si="1">B8-C8</f>
        <v>131.65</v>
      </c>
      <c r="E8" s="15">
        <f t="shared" ref="E8:E17" si="2">B8+C8</f>
        <v>132.35</v>
      </c>
      <c r="F8" s="15" t="str">
        <f t="shared" ref="F8:F17" si="3">IF(AND(D8&gt;130,E8&lt;133),"conforme","non conforme")</f>
        <v>conforme</v>
      </c>
    </row>
    <row r="9">
      <c r="A9" s="15">
        <v>2.0</v>
      </c>
      <c r="B9" s="15">
        <v>130.7</v>
      </c>
      <c r="C9" s="15">
        <v>0.42</v>
      </c>
      <c r="D9" s="15">
        <f t="shared" si="1"/>
        <v>130.28</v>
      </c>
      <c r="E9" s="15">
        <f t="shared" si="2"/>
        <v>131.12</v>
      </c>
      <c r="F9" s="15" t="str">
        <f t="shared" si="3"/>
        <v>conforme</v>
      </c>
    </row>
    <row r="10">
      <c r="A10" s="16">
        <v>3.0</v>
      </c>
      <c r="B10" s="16">
        <v>133.0</v>
      </c>
      <c r="C10" s="16">
        <v>0.37</v>
      </c>
      <c r="D10" s="16">
        <f t="shared" si="1"/>
        <v>132.63</v>
      </c>
      <c r="E10" s="16">
        <f t="shared" si="2"/>
        <v>133.37</v>
      </c>
      <c r="F10" s="16" t="str">
        <f t="shared" si="3"/>
        <v>non conforme</v>
      </c>
    </row>
    <row r="11">
      <c r="A11" s="17">
        <v>4.0</v>
      </c>
      <c r="B11" s="17">
        <v>132.4</v>
      </c>
      <c r="C11" s="17">
        <v>0.43</v>
      </c>
      <c r="D11" s="17">
        <f t="shared" si="1"/>
        <v>131.97</v>
      </c>
      <c r="E11" s="17">
        <f t="shared" si="2"/>
        <v>132.83</v>
      </c>
      <c r="F11" s="15" t="str">
        <f t="shared" si="3"/>
        <v>conforme</v>
      </c>
    </row>
    <row r="12">
      <c r="A12" s="17">
        <v>5.0</v>
      </c>
      <c r="B12" s="17">
        <v>130.9</v>
      </c>
      <c r="C12" s="17">
        <v>0.45</v>
      </c>
      <c r="D12" s="17">
        <f t="shared" si="1"/>
        <v>130.45</v>
      </c>
      <c r="E12" s="17">
        <f t="shared" si="2"/>
        <v>131.35</v>
      </c>
      <c r="F12" s="15" t="str">
        <f t="shared" si="3"/>
        <v>conforme</v>
      </c>
    </row>
    <row r="13">
      <c r="A13" s="17">
        <v>6.0</v>
      </c>
      <c r="B13" s="17">
        <v>130.8</v>
      </c>
      <c r="C13" s="17">
        <v>0.39</v>
      </c>
      <c r="D13" s="17">
        <f t="shared" si="1"/>
        <v>130.41</v>
      </c>
      <c r="E13" s="17">
        <f t="shared" si="2"/>
        <v>131.19</v>
      </c>
      <c r="F13" s="15" t="str">
        <f t="shared" si="3"/>
        <v>conforme</v>
      </c>
    </row>
    <row r="14">
      <c r="A14" s="16">
        <v>7.0</v>
      </c>
      <c r="B14" s="16">
        <v>133.6</v>
      </c>
      <c r="C14" s="16">
        <v>0.38</v>
      </c>
      <c r="D14" s="16">
        <f t="shared" si="1"/>
        <v>133.22</v>
      </c>
      <c r="E14" s="16">
        <f t="shared" si="2"/>
        <v>133.98</v>
      </c>
      <c r="F14" s="16" t="str">
        <f t="shared" si="3"/>
        <v>non conforme</v>
      </c>
    </row>
    <row r="15">
      <c r="A15" s="17">
        <v>8.0</v>
      </c>
      <c r="B15" s="17">
        <v>132.3</v>
      </c>
      <c r="C15" s="17">
        <v>0.43</v>
      </c>
      <c r="D15" s="17">
        <f t="shared" si="1"/>
        <v>131.87</v>
      </c>
      <c r="E15" s="17">
        <f t="shared" si="2"/>
        <v>132.73</v>
      </c>
      <c r="F15" s="15" t="str">
        <f t="shared" si="3"/>
        <v>conforme</v>
      </c>
    </row>
    <row r="16">
      <c r="A16" s="17">
        <v>9.0</v>
      </c>
      <c r="B16" s="17">
        <v>132.2</v>
      </c>
      <c r="C16" s="17">
        <v>0.42</v>
      </c>
      <c r="D16" s="17">
        <f t="shared" si="1"/>
        <v>131.78</v>
      </c>
      <c r="E16" s="17">
        <f t="shared" si="2"/>
        <v>132.62</v>
      </c>
      <c r="F16" s="15" t="str">
        <f t="shared" si="3"/>
        <v>conforme</v>
      </c>
    </row>
    <row r="17">
      <c r="A17" s="17">
        <v>10.0</v>
      </c>
      <c r="B17" s="17">
        <v>132.3</v>
      </c>
      <c r="C17" s="17">
        <v>0.41</v>
      </c>
      <c r="D17" s="17">
        <f t="shared" si="1"/>
        <v>131.89</v>
      </c>
      <c r="E17" s="17">
        <f t="shared" si="2"/>
        <v>132.71</v>
      </c>
      <c r="F17" s="15" t="str">
        <f t="shared" si="3"/>
        <v>conforme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4"/>
    <mergeCell ref="B1:E2"/>
    <mergeCell ref="G1:G2"/>
    <mergeCell ref="B3:E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5" width="11.43"/>
    <col customWidth="1" min="6" max="6" width="13.43"/>
    <col customWidth="1" min="7" max="26" width="11.43"/>
  </cols>
  <sheetData>
    <row r="1">
      <c r="A1" s="1" t="s">
        <v>0</v>
      </c>
      <c r="B1" s="1" t="s">
        <v>1</v>
      </c>
      <c r="C1" s="2"/>
      <c r="D1" s="2"/>
      <c r="E1" s="3"/>
      <c r="F1" s="4" t="s">
        <v>2</v>
      </c>
      <c r="G1" s="5" t="s">
        <v>3</v>
      </c>
    </row>
    <row r="2">
      <c r="A2" s="6"/>
      <c r="B2" s="11"/>
      <c r="C2" s="12"/>
      <c r="D2" s="12"/>
      <c r="E2" s="13"/>
      <c r="F2" s="8" t="s">
        <v>4</v>
      </c>
      <c r="G2" s="9"/>
    </row>
    <row r="3">
      <c r="A3" s="6"/>
      <c r="B3" s="18" t="s">
        <v>5</v>
      </c>
      <c r="E3" s="7"/>
      <c r="F3" s="10" t="s">
        <v>6</v>
      </c>
      <c r="G3" s="10" t="s">
        <v>7</v>
      </c>
    </row>
    <row r="4">
      <c r="A4" s="11"/>
      <c r="B4" s="11"/>
      <c r="C4" s="12"/>
      <c r="D4" s="12"/>
      <c r="E4" s="13"/>
      <c r="F4" s="14">
        <v>42829.0</v>
      </c>
      <c r="G4" s="8">
        <v>1.0</v>
      </c>
    </row>
    <row r="8">
      <c r="A8" s="15" t="s">
        <v>8</v>
      </c>
      <c r="B8" s="15" t="s">
        <v>9</v>
      </c>
      <c r="C8" s="15" t="s">
        <v>10</v>
      </c>
      <c r="D8" s="15" t="s">
        <v>11</v>
      </c>
      <c r="E8" s="15" t="s">
        <v>12</v>
      </c>
      <c r="F8" s="15" t="s">
        <v>13</v>
      </c>
    </row>
    <row r="9">
      <c r="A9" s="16">
        <v>1.0</v>
      </c>
      <c r="B9" s="16">
        <v>131.0</v>
      </c>
      <c r="C9" s="16">
        <v>1.82</v>
      </c>
      <c r="D9" s="16">
        <f t="shared" ref="D9:D18" si="1">B9-C9</f>
        <v>129.18</v>
      </c>
      <c r="E9" s="16">
        <f t="shared" ref="E9:E18" si="2">B9+C9</f>
        <v>132.82</v>
      </c>
      <c r="F9" s="16" t="str">
        <f t="shared" ref="F9:F18" si="3">IF(AND(D9&gt;130,E9&lt;133),"conforme","non conforme")</f>
        <v>non conforme</v>
      </c>
    </row>
    <row r="10">
      <c r="A10" s="16">
        <v>2.0</v>
      </c>
      <c r="B10" s="16">
        <v>132.8</v>
      </c>
      <c r="C10" s="16">
        <v>0.51</v>
      </c>
      <c r="D10" s="16">
        <f t="shared" si="1"/>
        <v>132.29</v>
      </c>
      <c r="E10" s="16">
        <f t="shared" si="2"/>
        <v>133.31</v>
      </c>
      <c r="F10" s="16" t="str">
        <f t="shared" si="3"/>
        <v>non conforme</v>
      </c>
    </row>
    <row r="11">
      <c r="A11" s="17">
        <v>3.0</v>
      </c>
      <c r="B11" s="17">
        <v>131.1</v>
      </c>
      <c r="C11" s="17">
        <v>0.42</v>
      </c>
      <c r="D11" s="17">
        <f t="shared" si="1"/>
        <v>130.68</v>
      </c>
      <c r="E11" s="17">
        <f t="shared" si="2"/>
        <v>131.52</v>
      </c>
      <c r="F11" s="17" t="str">
        <f t="shared" si="3"/>
        <v>conforme</v>
      </c>
    </row>
    <row r="12">
      <c r="A12" s="17">
        <v>4.0</v>
      </c>
      <c r="B12" s="17">
        <v>130.9</v>
      </c>
      <c r="C12" s="17">
        <v>0.87</v>
      </c>
      <c r="D12" s="17">
        <f t="shared" si="1"/>
        <v>130.03</v>
      </c>
      <c r="E12" s="17">
        <f t="shared" si="2"/>
        <v>131.77</v>
      </c>
      <c r="F12" s="17" t="str">
        <f t="shared" si="3"/>
        <v>conforme</v>
      </c>
    </row>
    <row r="13">
      <c r="A13" s="17">
        <v>5.0</v>
      </c>
      <c r="B13" s="17">
        <v>132.4</v>
      </c>
      <c r="C13" s="17">
        <v>0.47</v>
      </c>
      <c r="D13" s="17">
        <f t="shared" si="1"/>
        <v>131.93</v>
      </c>
      <c r="E13" s="17">
        <f t="shared" si="2"/>
        <v>132.87</v>
      </c>
      <c r="F13" s="17" t="str">
        <f t="shared" si="3"/>
        <v>conforme</v>
      </c>
    </row>
    <row r="14">
      <c r="A14" s="16">
        <v>6.0</v>
      </c>
      <c r="B14" s="16">
        <v>131.9</v>
      </c>
      <c r="C14" s="16">
        <v>1.48</v>
      </c>
      <c r="D14" s="16">
        <f t="shared" si="1"/>
        <v>130.42</v>
      </c>
      <c r="E14" s="16">
        <f t="shared" si="2"/>
        <v>133.38</v>
      </c>
      <c r="F14" s="16" t="str">
        <f t="shared" si="3"/>
        <v>non conforme</v>
      </c>
    </row>
    <row r="15">
      <c r="A15" s="17">
        <v>7.0</v>
      </c>
      <c r="B15" s="17">
        <v>131.7</v>
      </c>
      <c r="C15" s="17">
        <v>0.57</v>
      </c>
      <c r="D15" s="17">
        <f t="shared" si="1"/>
        <v>131.13</v>
      </c>
      <c r="E15" s="17">
        <f t="shared" si="2"/>
        <v>132.27</v>
      </c>
      <c r="F15" s="17" t="str">
        <f t="shared" si="3"/>
        <v>conforme</v>
      </c>
    </row>
    <row r="16">
      <c r="A16" s="16">
        <v>8.0</v>
      </c>
      <c r="B16" s="16">
        <v>132.0</v>
      </c>
      <c r="C16" s="16">
        <v>1.51</v>
      </c>
      <c r="D16" s="16">
        <f t="shared" si="1"/>
        <v>130.49</v>
      </c>
      <c r="E16" s="16">
        <f t="shared" si="2"/>
        <v>133.51</v>
      </c>
      <c r="F16" s="16" t="str">
        <f t="shared" si="3"/>
        <v>non conforme</v>
      </c>
    </row>
    <row r="17">
      <c r="A17" s="16">
        <v>9.0</v>
      </c>
      <c r="B17" s="16">
        <v>135.1</v>
      </c>
      <c r="C17" s="16">
        <v>0.61</v>
      </c>
      <c r="D17" s="16">
        <f t="shared" si="1"/>
        <v>134.49</v>
      </c>
      <c r="E17" s="16">
        <f t="shared" si="2"/>
        <v>135.71</v>
      </c>
      <c r="F17" s="16" t="str">
        <f t="shared" si="3"/>
        <v>non conforme</v>
      </c>
    </row>
    <row r="18">
      <c r="A18" s="16">
        <v>10.0</v>
      </c>
      <c r="B18" s="16">
        <v>135.5</v>
      </c>
      <c r="C18" s="16">
        <v>1.53</v>
      </c>
      <c r="D18" s="16">
        <f t="shared" si="1"/>
        <v>133.97</v>
      </c>
      <c r="E18" s="16">
        <f t="shared" si="2"/>
        <v>137.03</v>
      </c>
      <c r="F18" s="16" t="str">
        <f t="shared" si="3"/>
        <v>non conforme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4"/>
    <mergeCell ref="B1:E2"/>
    <mergeCell ref="G1:G2"/>
    <mergeCell ref="B3:E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5" width="11.43"/>
    <col customWidth="1" min="6" max="6" width="17.71"/>
    <col customWidth="1" min="7" max="26" width="11.43"/>
  </cols>
  <sheetData>
    <row r="1">
      <c r="A1" s="5" t="s">
        <v>0</v>
      </c>
      <c r="B1" s="18" t="s">
        <v>1</v>
      </c>
      <c r="F1" s="4" t="s">
        <v>2</v>
      </c>
      <c r="G1" s="5" t="s">
        <v>3</v>
      </c>
    </row>
    <row r="2">
      <c r="A2" s="19"/>
      <c r="B2" s="6"/>
      <c r="F2" s="8" t="s">
        <v>4</v>
      </c>
      <c r="G2" s="9"/>
    </row>
    <row r="3">
      <c r="A3" s="19"/>
      <c r="B3" s="18" t="s">
        <v>5</v>
      </c>
      <c r="F3" s="10" t="s">
        <v>6</v>
      </c>
      <c r="G3" s="10" t="s">
        <v>7</v>
      </c>
    </row>
    <row r="4">
      <c r="A4" s="9"/>
      <c r="B4" s="6"/>
      <c r="F4" s="14">
        <v>42829.0</v>
      </c>
      <c r="G4" s="8">
        <v>1.0</v>
      </c>
    </row>
    <row r="5">
      <c r="A5" s="15" t="s">
        <v>14</v>
      </c>
      <c r="B5" s="15" t="s">
        <v>9</v>
      </c>
      <c r="C5" s="15" t="s">
        <v>10</v>
      </c>
      <c r="D5" s="15" t="s">
        <v>11</v>
      </c>
      <c r="E5" s="15" t="s">
        <v>12</v>
      </c>
    </row>
    <row r="6">
      <c r="A6" s="15">
        <v>1.0</v>
      </c>
      <c r="B6" s="15">
        <v>44.7</v>
      </c>
      <c r="C6" s="15">
        <v>1.08</v>
      </c>
      <c r="D6" s="15">
        <f t="shared" ref="D6:D14" si="1">B6-C6</f>
        <v>43.62</v>
      </c>
      <c r="E6" s="17">
        <f t="shared" ref="E6:E14" si="2">B6+C6</f>
        <v>45.78</v>
      </c>
      <c r="F6" s="15" t="str">
        <f t="shared" ref="F6:F14" si="3">IF(AND(D6&gt;=43,E6&lt;=45),"conforme","non conforme")</f>
        <v>non conforme</v>
      </c>
    </row>
    <row r="7">
      <c r="A7" s="15">
        <v>2.0</v>
      </c>
      <c r="B7" s="15">
        <v>44.5</v>
      </c>
      <c r="C7" s="15">
        <v>0.98</v>
      </c>
      <c r="D7" s="15">
        <f t="shared" si="1"/>
        <v>43.52</v>
      </c>
      <c r="E7" s="15">
        <f t="shared" si="2"/>
        <v>45.48</v>
      </c>
      <c r="F7" s="15" t="str">
        <f t="shared" si="3"/>
        <v>non conforme</v>
      </c>
    </row>
    <row r="8">
      <c r="A8" s="15">
        <v>3.0</v>
      </c>
      <c r="B8" s="15">
        <v>44.6</v>
      </c>
      <c r="C8" s="15">
        <v>0.93</v>
      </c>
      <c r="D8" s="15">
        <f t="shared" si="1"/>
        <v>43.67</v>
      </c>
      <c r="E8" s="15">
        <f t="shared" si="2"/>
        <v>45.53</v>
      </c>
      <c r="F8" s="15" t="str">
        <f t="shared" si="3"/>
        <v>non conforme</v>
      </c>
    </row>
    <row r="9">
      <c r="A9" s="15">
        <v>4.0</v>
      </c>
      <c r="B9" s="15">
        <v>44.4</v>
      </c>
      <c r="C9" s="15">
        <v>0.81</v>
      </c>
      <c r="D9" s="15">
        <f t="shared" si="1"/>
        <v>43.59</v>
      </c>
      <c r="E9" s="15">
        <f t="shared" si="2"/>
        <v>45.21</v>
      </c>
      <c r="F9" s="15" t="str">
        <f t="shared" si="3"/>
        <v>non conforme</v>
      </c>
    </row>
    <row r="10">
      <c r="A10" s="15">
        <v>5.0</v>
      </c>
      <c r="B10" s="15">
        <v>44.4</v>
      </c>
      <c r="C10" s="15">
        <v>1.12</v>
      </c>
      <c r="D10" s="15">
        <f t="shared" si="1"/>
        <v>43.28</v>
      </c>
      <c r="E10" s="15">
        <f t="shared" si="2"/>
        <v>45.52</v>
      </c>
      <c r="F10" s="15" t="str">
        <f t="shared" si="3"/>
        <v>non conforme</v>
      </c>
    </row>
    <row r="11">
      <c r="A11" s="15">
        <v>6.0</v>
      </c>
      <c r="B11" s="15">
        <v>44.0</v>
      </c>
      <c r="C11" s="15">
        <v>1.0</v>
      </c>
      <c r="D11" s="15">
        <f t="shared" si="1"/>
        <v>43</v>
      </c>
      <c r="E11" s="15">
        <f t="shared" si="2"/>
        <v>45</v>
      </c>
      <c r="F11" s="15" t="str">
        <f t="shared" si="3"/>
        <v>conforme</v>
      </c>
    </row>
    <row r="12">
      <c r="A12" s="15">
        <v>7.0</v>
      </c>
      <c r="B12" s="15">
        <v>43.8</v>
      </c>
      <c r="C12" s="15">
        <v>1.08</v>
      </c>
      <c r="D12" s="15">
        <f t="shared" si="1"/>
        <v>42.72</v>
      </c>
      <c r="E12" s="15">
        <f t="shared" si="2"/>
        <v>44.88</v>
      </c>
      <c r="F12" s="15" t="str">
        <f t="shared" si="3"/>
        <v>non conforme</v>
      </c>
    </row>
    <row r="13">
      <c r="A13" s="15">
        <v>8.0</v>
      </c>
      <c r="B13" s="15">
        <v>44.0</v>
      </c>
      <c r="C13" s="15">
        <v>1.14</v>
      </c>
      <c r="D13" s="15">
        <f t="shared" si="1"/>
        <v>42.86</v>
      </c>
      <c r="E13" s="15">
        <f t="shared" si="2"/>
        <v>45.14</v>
      </c>
      <c r="F13" s="15" t="str">
        <f t="shared" si="3"/>
        <v>non conforme</v>
      </c>
    </row>
    <row r="14">
      <c r="A14" s="15">
        <v>9.0</v>
      </c>
      <c r="B14" s="15">
        <v>43.9</v>
      </c>
      <c r="C14" s="15">
        <v>1.14</v>
      </c>
      <c r="D14" s="15">
        <f t="shared" si="1"/>
        <v>42.76</v>
      </c>
      <c r="E14" s="15">
        <f t="shared" si="2"/>
        <v>45.04</v>
      </c>
      <c r="F14" s="15" t="str">
        <f t="shared" si="3"/>
        <v>non conforme</v>
      </c>
    </row>
    <row r="18">
      <c r="E18" s="20">
        <v>1.0</v>
      </c>
      <c r="G18" s="15">
        <v>2.0</v>
      </c>
    </row>
    <row r="21" ht="15.75" customHeight="1">
      <c r="D21" s="15">
        <v>4.0</v>
      </c>
      <c r="G21" s="21">
        <v>3.0</v>
      </c>
    </row>
    <row r="22" ht="15.75" customHeight="1"/>
    <row r="23" ht="15.75" customHeight="1"/>
    <row r="24" ht="15.75" customHeight="1"/>
    <row r="25" ht="15.75" customHeight="1">
      <c r="E25" s="21">
        <v>5.0</v>
      </c>
    </row>
    <row r="26" ht="15.75" customHeight="1"/>
    <row r="27" ht="15.75" customHeight="1">
      <c r="E27" s="22">
        <v>6.0</v>
      </c>
      <c r="G27" s="15">
        <v>7.0</v>
      </c>
    </row>
    <row r="28" ht="15.75" customHeight="1"/>
    <row r="29" ht="15.75" customHeight="1"/>
    <row r="30" ht="15.75" customHeight="1">
      <c r="D30" s="22">
        <v>9.0</v>
      </c>
      <c r="G30" s="15">
        <v>8.0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4"/>
    <mergeCell ref="B1:E2"/>
    <mergeCell ref="G1:G2"/>
    <mergeCell ref="B3:E4"/>
    <mergeCell ref="E25:F2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5" width="11.43"/>
    <col customWidth="1" min="6" max="6" width="17.14"/>
    <col customWidth="1" min="7" max="26" width="11.43"/>
  </cols>
  <sheetData>
    <row r="1">
      <c r="A1" s="1" t="s">
        <v>0</v>
      </c>
      <c r="B1" s="1" t="s">
        <v>1</v>
      </c>
      <c r="C1" s="2"/>
      <c r="D1" s="2"/>
      <c r="E1" s="3"/>
      <c r="F1" s="4" t="s">
        <v>2</v>
      </c>
      <c r="G1" s="4" t="s">
        <v>3</v>
      </c>
    </row>
    <row r="2">
      <c r="A2" s="6"/>
      <c r="B2" s="11"/>
      <c r="C2" s="12"/>
      <c r="D2" s="12"/>
      <c r="E2" s="13"/>
      <c r="F2" s="8" t="s">
        <v>4</v>
      </c>
      <c r="G2" s="13"/>
    </row>
    <row r="3">
      <c r="A3" s="6"/>
      <c r="B3" s="1" t="s">
        <v>5</v>
      </c>
      <c r="C3" s="2"/>
      <c r="D3" s="2"/>
      <c r="E3" s="3"/>
      <c r="F3" s="10" t="s">
        <v>6</v>
      </c>
      <c r="G3" s="10" t="s">
        <v>7</v>
      </c>
    </row>
    <row r="4">
      <c r="A4" s="11"/>
      <c r="B4" s="11"/>
      <c r="C4" s="12"/>
      <c r="D4" s="12"/>
      <c r="E4" s="13"/>
      <c r="F4" s="14">
        <v>42829.0</v>
      </c>
      <c r="G4" s="8">
        <v>1.0</v>
      </c>
    </row>
    <row r="7">
      <c r="A7" s="15" t="s">
        <v>14</v>
      </c>
      <c r="B7" s="15" t="s">
        <v>9</v>
      </c>
      <c r="C7" s="15" t="s">
        <v>10</v>
      </c>
      <c r="D7" s="15" t="s">
        <v>11</v>
      </c>
      <c r="E7" s="15" t="s">
        <v>12</v>
      </c>
      <c r="F7" s="15" t="s">
        <v>15</v>
      </c>
    </row>
    <row r="8">
      <c r="A8" s="16">
        <v>1.0</v>
      </c>
      <c r="B8" s="16">
        <v>37.7</v>
      </c>
      <c r="C8" s="16">
        <v>0.43</v>
      </c>
      <c r="D8" s="16">
        <f t="shared" ref="D8:D16" si="1">B8-C8</f>
        <v>37.27</v>
      </c>
      <c r="E8" s="16">
        <f t="shared" ref="E8:E16" si="2">B8+C8</f>
        <v>38.13</v>
      </c>
      <c r="F8" s="16" t="str">
        <f t="shared" ref="F8:F16" si="3">IF(AND(D8&gt;36,E8&lt;38),"conforme","non conforme")</f>
        <v>non conforme</v>
      </c>
    </row>
    <row r="9">
      <c r="A9" s="16">
        <v>2.0</v>
      </c>
      <c r="B9" s="16">
        <v>37.6</v>
      </c>
      <c r="C9" s="16">
        <v>0.49</v>
      </c>
      <c r="D9" s="16">
        <f t="shared" si="1"/>
        <v>37.11</v>
      </c>
      <c r="E9" s="16">
        <f t="shared" si="2"/>
        <v>38.09</v>
      </c>
      <c r="F9" s="16" t="str">
        <f t="shared" si="3"/>
        <v>non conforme</v>
      </c>
    </row>
    <row r="10">
      <c r="A10" s="15">
        <v>3.0</v>
      </c>
      <c r="B10" s="15">
        <v>37.5</v>
      </c>
      <c r="C10" s="15">
        <v>0.42</v>
      </c>
      <c r="D10" s="15">
        <f t="shared" si="1"/>
        <v>37.08</v>
      </c>
      <c r="E10" s="15">
        <f t="shared" si="2"/>
        <v>37.92</v>
      </c>
      <c r="F10" s="15" t="str">
        <f t="shared" si="3"/>
        <v>conforme</v>
      </c>
    </row>
    <row r="11">
      <c r="A11" s="15">
        <v>4.0</v>
      </c>
      <c r="B11" s="15">
        <v>37.5</v>
      </c>
      <c r="C11" s="15">
        <v>0.45</v>
      </c>
      <c r="D11" s="15">
        <f t="shared" si="1"/>
        <v>37.05</v>
      </c>
      <c r="E11" s="15">
        <f t="shared" si="2"/>
        <v>37.95</v>
      </c>
      <c r="F11" s="15" t="str">
        <f t="shared" si="3"/>
        <v>conforme</v>
      </c>
    </row>
    <row r="12">
      <c r="A12" s="15">
        <v>5.0</v>
      </c>
      <c r="B12" s="15">
        <v>37.4</v>
      </c>
      <c r="C12" s="15">
        <v>0.52</v>
      </c>
      <c r="D12" s="15">
        <f t="shared" si="1"/>
        <v>36.88</v>
      </c>
      <c r="E12" s="15">
        <f t="shared" si="2"/>
        <v>37.92</v>
      </c>
      <c r="F12" s="15" t="str">
        <f t="shared" si="3"/>
        <v>conforme</v>
      </c>
    </row>
    <row r="13">
      <c r="A13" s="15">
        <v>6.0</v>
      </c>
      <c r="B13" s="15">
        <v>37.1</v>
      </c>
      <c r="C13" s="15">
        <v>0.66</v>
      </c>
      <c r="D13" s="15">
        <f t="shared" si="1"/>
        <v>36.44</v>
      </c>
      <c r="E13" s="15">
        <f t="shared" si="2"/>
        <v>37.76</v>
      </c>
      <c r="F13" s="15" t="str">
        <f t="shared" si="3"/>
        <v>conforme</v>
      </c>
    </row>
    <row r="14">
      <c r="A14" s="15">
        <v>7.0</v>
      </c>
      <c r="B14" s="15">
        <v>37.2</v>
      </c>
      <c r="C14" s="15">
        <v>0.69</v>
      </c>
      <c r="D14" s="15">
        <f t="shared" si="1"/>
        <v>36.51</v>
      </c>
      <c r="E14" s="17">
        <f t="shared" si="2"/>
        <v>37.89</v>
      </c>
      <c r="F14" s="15" t="str">
        <f t="shared" si="3"/>
        <v>conforme</v>
      </c>
    </row>
    <row r="15">
      <c r="A15" s="15">
        <v>8.0</v>
      </c>
      <c r="B15" s="15">
        <v>37.2</v>
      </c>
      <c r="C15" s="15">
        <v>0.74</v>
      </c>
      <c r="D15" s="15">
        <f t="shared" si="1"/>
        <v>36.46</v>
      </c>
      <c r="E15" s="17">
        <f t="shared" si="2"/>
        <v>37.94</v>
      </c>
      <c r="F15" s="15" t="str">
        <f t="shared" si="3"/>
        <v>conforme</v>
      </c>
    </row>
    <row r="16">
      <c r="A16" s="15">
        <v>9.0</v>
      </c>
      <c r="B16" s="15">
        <v>37.1</v>
      </c>
      <c r="C16" s="15">
        <v>0.63</v>
      </c>
      <c r="D16" s="15">
        <f t="shared" si="1"/>
        <v>36.47</v>
      </c>
      <c r="E16" s="17">
        <f t="shared" si="2"/>
        <v>37.73</v>
      </c>
      <c r="F16" s="15" t="str">
        <f t="shared" si="3"/>
        <v>conforme</v>
      </c>
    </row>
    <row r="18">
      <c r="E18" s="21">
        <v>1.0</v>
      </c>
      <c r="G18" s="15">
        <v>2.0</v>
      </c>
      <c r="H18" s="15" t="s">
        <v>16</v>
      </c>
    </row>
    <row r="21" ht="15.75" customHeight="1">
      <c r="D21" s="15">
        <v>4.0</v>
      </c>
      <c r="G21" s="21">
        <v>3.0</v>
      </c>
    </row>
    <row r="22" ht="15.75" customHeight="1"/>
    <row r="23" ht="15.75" customHeight="1"/>
    <row r="24" ht="15.75" customHeight="1"/>
    <row r="25" ht="15.75" customHeight="1">
      <c r="E25" s="21">
        <v>5.0</v>
      </c>
    </row>
    <row r="26" ht="15.75" customHeight="1"/>
    <row r="27" ht="15.75" customHeight="1">
      <c r="E27" s="22">
        <v>6.0</v>
      </c>
      <c r="G27" s="23">
        <v>7.0</v>
      </c>
    </row>
    <row r="28" ht="15.75" customHeight="1"/>
    <row r="29" ht="15.75" customHeight="1"/>
    <row r="30" ht="15.75" customHeight="1">
      <c r="D30" s="24">
        <v>9.0</v>
      </c>
      <c r="G30" s="23">
        <v>8.0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4"/>
    <mergeCell ref="B1:E2"/>
    <mergeCell ref="G1:G2"/>
    <mergeCell ref="B3:E4"/>
    <mergeCell ref="E25:F25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1.43"/>
    <col customWidth="1" min="6" max="6" width="11.57"/>
    <col customWidth="1" min="7" max="26" width="11.43"/>
  </cols>
  <sheetData>
    <row r="1">
      <c r="A1" s="5" t="s">
        <v>0</v>
      </c>
      <c r="B1" s="18" t="s">
        <v>1</v>
      </c>
      <c r="F1" s="4" t="s">
        <v>2</v>
      </c>
      <c r="G1" s="5" t="s">
        <v>3</v>
      </c>
    </row>
    <row r="2">
      <c r="A2" s="19"/>
      <c r="B2" s="6"/>
      <c r="F2" s="8" t="s">
        <v>4</v>
      </c>
      <c r="G2" s="9"/>
    </row>
    <row r="3">
      <c r="A3" s="19"/>
      <c r="B3" s="18" t="s">
        <v>5</v>
      </c>
      <c r="F3" s="10" t="s">
        <v>6</v>
      </c>
      <c r="G3" s="10" t="s">
        <v>7</v>
      </c>
    </row>
    <row r="4">
      <c r="A4" s="9"/>
      <c r="B4" s="6"/>
      <c r="F4" s="14">
        <v>42829.0</v>
      </c>
      <c r="G4" s="8">
        <v>1.0</v>
      </c>
    </row>
    <row r="5">
      <c r="A5" s="15" t="s">
        <v>14</v>
      </c>
      <c r="B5" s="15" t="s">
        <v>9</v>
      </c>
      <c r="C5" s="15" t="s">
        <v>10</v>
      </c>
      <c r="D5" s="15" t="s">
        <v>11</v>
      </c>
      <c r="E5" s="15" t="s">
        <v>12</v>
      </c>
      <c r="F5" s="10" t="s">
        <v>13</v>
      </c>
    </row>
    <row r="6">
      <c r="A6" s="15">
        <v>1.0</v>
      </c>
      <c r="B6" s="15">
        <v>30.1</v>
      </c>
      <c r="C6" s="15">
        <v>0.41</v>
      </c>
      <c r="D6" s="15">
        <f t="shared" ref="D6:D14" si="1">B6-C6</f>
        <v>29.69</v>
      </c>
      <c r="E6" s="15">
        <f t="shared" ref="E6:E14" si="2">B6+C6</f>
        <v>30.51</v>
      </c>
      <c r="F6" s="15" t="str">
        <f t="shared" ref="F6:F14" si="3">IF(AND(D6&gt;29,E6&lt;31),"conforme","non conforme")</f>
        <v>conforme</v>
      </c>
    </row>
    <row r="7">
      <c r="A7" s="15">
        <v>2.0</v>
      </c>
      <c r="B7" s="15">
        <v>30.1</v>
      </c>
      <c r="C7" s="15">
        <v>0.37</v>
      </c>
      <c r="D7" s="15">
        <f t="shared" si="1"/>
        <v>29.73</v>
      </c>
      <c r="E7" s="15">
        <f t="shared" si="2"/>
        <v>30.47</v>
      </c>
      <c r="F7" s="15" t="str">
        <f t="shared" si="3"/>
        <v>conforme</v>
      </c>
    </row>
    <row r="8">
      <c r="A8" s="15">
        <v>3.0</v>
      </c>
      <c r="B8" s="15">
        <v>30.0</v>
      </c>
      <c r="C8" s="15">
        <v>0.41</v>
      </c>
      <c r="D8" s="15">
        <f t="shared" si="1"/>
        <v>29.59</v>
      </c>
      <c r="E8" s="15">
        <f t="shared" si="2"/>
        <v>30.41</v>
      </c>
      <c r="F8" s="15" t="str">
        <f t="shared" si="3"/>
        <v>conforme</v>
      </c>
      <c r="G8" s="25" t="s">
        <v>17</v>
      </c>
      <c r="H8" s="26"/>
      <c r="I8" s="27"/>
    </row>
    <row r="9">
      <c r="A9" s="15">
        <v>4.0</v>
      </c>
      <c r="B9" s="15">
        <v>29.9</v>
      </c>
      <c r="C9" s="15">
        <v>0.4</v>
      </c>
      <c r="D9" s="15">
        <f t="shared" si="1"/>
        <v>29.5</v>
      </c>
      <c r="E9" s="15">
        <f t="shared" si="2"/>
        <v>30.3</v>
      </c>
      <c r="F9" s="15" t="str">
        <f t="shared" si="3"/>
        <v>conforme</v>
      </c>
      <c r="G9" s="28"/>
      <c r="I9" s="29"/>
    </row>
    <row r="10">
      <c r="A10" s="15">
        <v>5.0</v>
      </c>
      <c r="B10" s="15">
        <v>29.9</v>
      </c>
      <c r="C10" s="15">
        <v>0.44</v>
      </c>
      <c r="D10" s="15">
        <f t="shared" si="1"/>
        <v>29.46</v>
      </c>
      <c r="E10" s="15">
        <f t="shared" si="2"/>
        <v>30.34</v>
      </c>
      <c r="F10" s="15" t="str">
        <f t="shared" si="3"/>
        <v>conforme</v>
      </c>
      <c r="G10" s="30"/>
      <c r="H10" s="31"/>
      <c r="I10" s="32"/>
    </row>
    <row r="11">
      <c r="A11" s="15">
        <v>6.0</v>
      </c>
      <c r="B11" s="15">
        <v>29.8</v>
      </c>
      <c r="C11" s="15">
        <v>0.41</v>
      </c>
      <c r="D11" s="15">
        <f t="shared" si="1"/>
        <v>29.39</v>
      </c>
      <c r="E11" s="15">
        <f t="shared" si="2"/>
        <v>30.21</v>
      </c>
      <c r="F11" s="15" t="str">
        <f t="shared" si="3"/>
        <v>conforme</v>
      </c>
    </row>
    <row r="12">
      <c r="A12" s="15">
        <v>7.0</v>
      </c>
      <c r="B12" s="15">
        <v>30.0</v>
      </c>
      <c r="C12" s="15">
        <v>0.43</v>
      </c>
      <c r="D12" s="15">
        <f t="shared" si="1"/>
        <v>29.57</v>
      </c>
      <c r="E12" s="17">
        <f t="shared" si="2"/>
        <v>30.43</v>
      </c>
      <c r="F12" s="15" t="str">
        <f t="shared" si="3"/>
        <v>conforme</v>
      </c>
    </row>
    <row r="13">
      <c r="A13" s="15">
        <v>8.0</v>
      </c>
      <c r="B13" s="15">
        <v>29.8</v>
      </c>
      <c r="C13" s="15">
        <v>0.4</v>
      </c>
      <c r="D13" s="15">
        <f t="shared" si="1"/>
        <v>29.4</v>
      </c>
      <c r="E13" s="17">
        <f t="shared" si="2"/>
        <v>30.2</v>
      </c>
      <c r="F13" s="15" t="str">
        <f t="shared" si="3"/>
        <v>conforme</v>
      </c>
    </row>
    <row r="14">
      <c r="A14" s="15">
        <v>9.0</v>
      </c>
      <c r="B14" s="15">
        <v>29.7</v>
      </c>
      <c r="C14" s="15">
        <v>0.37</v>
      </c>
      <c r="D14" s="15">
        <f t="shared" si="1"/>
        <v>29.33</v>
      </c>
      <c r="E14" s="17">
        <f t="shared" si="2"/>
        <v>30.07</v>
      </c>
      <c r="F14" s="15" t="str">
        <f t="shared" si="3"/>
        <v>conforme</v>
      </c>
    </row>
    <row r="18">
      <c r="E18" s="21">
        <v>1.0</v>
      </c>
      <c r="G18" s="15">
        <v>2.0</v>
      </c>
    </row>
    <row r="21" ht="15.75" customHeight="1">
      <c r="D21" s="15">
        <v>4.0</v>
      </c>
      <c r="G21" s="21">
        <v>3.0</v>
      </c>
    </row>
    <row r="22" ht="15.75" customHeight="1"/>
    <row r="23" ht="15.75" customHeight="1"/>
    <row r="24" ht="15.75" customHeight="1"/>
    <row r="25" ht="15.75" customHeight="1">
      <c r="E25" s="21">
        <v>5.0</v>
      </c>
    </row>
    <row r="26" ht="15.75" customHeight="1"/>
    <row r="27" ht="15.75" customHeight="1">
      <c r="E27" s="22">
        <v>6.0</v>
      </c>
      <c r="G27" s="17">
        <v>7.0</v>
      </c>
    </row>
    <row r="28" ht="15.75" customHeight="1"/>
    <row r="29" ht="15.75" customHeight="1"/>
    <row r="30" ht="15.75" customHeight="1">
      <c r="D30" s="22">
        <v>9.0</v>
      </c>
      <c r="G30" s="17">
        <v>8.0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4"/>
    <mergeCell ref="B1:E2"/>
    <mergeCell ref="G1:G2"/>
    <mergeCell ref="B3:E4"/>
    <mergeCell ref="G8:I10"/>
    <mergeCell ref="E25:F25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1.43"/>
    <col customWidth="1" min="6" max="6" width="11.57"/>
    <col customWidth="1" min="7" max="26" width="11.43"/>
  </cols>
  <sheetData>
    <row r="1">
      <c r="A1" s="5" t="s">
        <v>0</v>
      </c>
      <c r="B1" s="18" t="s">
        <v>1</v>
      </c>
      <c r="F1" s="4" t="s">
        <v>2</v>
      </c>
      <c r="G1" s="5" t="s">
        <v>3</v>
      </c>
    </row>
    <row r="2">
      <c r="A2" s="19"/>
      <c r="B2" s="6"/>
      <c r="F2" s="8" t="s">
        <v>4</v>
      </c>
      <c r="G2" s="9"/>
    </row>
    <row r="3">
      <c r="A3" s="19"/>
      <c r="B3" s="18" t="s">
        <v>5</v>
      </c>
      <c r="F3" s="10" t="s">
        <v>6</v>
      </c>
      <c r="G3" s="10" t="s">
        <v>7</v>
      </c>
    </row>
    <row r="4">
      <c r="A4" s="9"/>
      <c r="B4" s="6"/>
      <c r="F4" s="14">
        <v>42829.0</v>
      </c>
      <c r="G4" s="8">
        <v>1.0</v>
      </c>
    </row>
    <row r="5">
      <c r="A5" s="15" t="s">
        <v>14</v>
      </c>
      <c r="B5" s="15" t="s">
        <v>9</v>
      </c>
      <c r="C5" s="15" t="s">
        <v>10</v>
      </c>
      <c r="D5" s="15" t="s">
        <v>11</v>
      </c>
      <c r="E5" s="15" t="s">
        <v>12</v>
      </c>
      <c r="F5" s="10" t="s">
        <v>13</v>
      </c>
    </row>
    <row r="6">
      <c r="A6" s="15">
        <v>1.0</v>
      </c>
      <c r="B6" s="15">
        <v>24.8</v>
      </c>
      <c r="C6" s="15">
        <v>0.47</v>
      </c>
      <c r="D6" s="15">
        <f t="shared" ref="D6:D14" si="1">B6-C6</f>
        <v>24.33</v>
      </c>
      <c r="E6" s="15">
        <f t="shared" ref="E6:E14" si="2">B6+C6</f>
        <v>25.27</v>
      </c>
      <c r="F6" s="15" t="str">
        <f t="shared" ref="F6:F14" si="3">IF(AND(D6&gt;24,E6&lt;26),"conforme","non conforme")</f>
        <v>conforme</v>
      </c>
    </row>
    <row r="7">
      <c r="A7" s="15">
        <v>2.0</v>
      </c>
      <c r="B7" s="15">
        <v>24.8</v>
      </c>
      <c r="C7" s="15">
        <v>0.37</v>
      </c>
      <c r="D7" s="15">
        <f t="shared" si="1"/>
        <v>24.43</v>
      </c>
      <c r="E7" s="15">
        <f t="shared" si="2"/>
        <v>25.17</v>
      </c>
      <c r="F7" s="15" t="str">
        <f t="shared" si="3"/>
        <v>conforme</v>
      </c>
    </row>
    <row r="8">
      <c r="A8" s="15">
        <v>3.0</v>
      </c>
      <c r="B8" s="15">
        <v>24.7</v>
      </c>
      <c r="C8" s="15">
        <v>0.48</v>
      </c>
      <c r="D8" s="15">
        <f t="shared" si="1"/>
        <v>24.22</v>
      </c>
      <c r="E8" s="15">
        <f t="shared" si="2"/>
        <v>25.18</v>
      </c>
      <c r="F8" s="15" t="str">
        <f t="shared" si="3"/>
        <v>conforme</v>
      </c>
      <c r="G8" s="25" t="s">
        <v>17</v>
      </c>
      <c r="H8" s="26"/>
      <c r="I8" s="27"/>
    </row>
    <row r="9">
      <c r="A9" s="15">
        <v>4.0</v>
      </c>
      <c r="B9" s="15">
        <v>24.7</v>
      </c>
      <c r="C9" s="15">
        <v>0.46</v>
      </c>
      <c r="D9" s="15">
        <f t="shared" si="1"/>
        <v>24.24</v>
      </c>
      <c r="E9" s="15">
        <f t="shared" si="2"/>
        <v>25.16</v>
      </c>
      <c r="F9" s="15" t="str">
        <f t="shared" si="3"/>
        <v>conforme</v>
      </c>
      <c r="G9" s="28"/>
      <c r="I9" s="29"/>
    </row>
    <row r="10">
      <c r="A10" s="15">
        <v>5.0</v>
      </c>
      <c r="B10" s="15">
        <v>24.7</v>
      </c>
      <c r="C10" s="15">
        <v>0.41</v>
      </c>
      <c r="D10" s="15">
        <f t="shared" si="1"/>
        <v>24.29</v>
      </c>
      <c r="E10" s="15">
        <f t="shared" si="2"/>
        <v>25.11</v>
      </c>
      <c r="F10" s="15" t="str">
        <f t="shared" si="3"/>
        <v>conforme</v>
      </c>
      <c r="G10" s="30"/>
      <c r="H10" s="31"/>
      <c r="I10" s="32"/>
    </row>
    <row r="11">
      <c r="A11" s="15">
        <v>6.0</v>
      </c>
      <c r="B11" s="15">
        <v>24.9</v>
      </c>
      <c r="C11" s="15">
        <v>0.47</v>
      </c>
      <c r="D11" s="15">
        <f t="shared" si="1"/>
        <v>24.43</v>
      </c>
      <c r="E11" s="15">
        <f t="shared" si="2"/>
        <v>25.37</v>
      </c>
      <c r="F11" s="15" t="str">
        <f t="shared" si="3"/>
        <v>conforme</v>
      </c>
    </row>
    <row r="12">
      <c r="A12" s="15">
        <v>7.0</v>
      </c>
      <c r="B12" s="15">
        <v>24.8</v>
      </c>
      <c r="C12" s="15">
        <v>0.37</v>
      </c>
      <c r="D12" s="15">
        <f t="shared" si="1"/>
        <v>24.43</v>
      </c>
      <c r="E12" s="17">
        <f t="shared" si="2"/>
        <v>25.17</v>
      </c>
      <c r="F12" s="15" t="str">
        <f t="shared" si="3"/>
        <v>conforme</v>
      </c>
    </row>
    <row r="13">
      <c r="A13" s="15">
        <v>8.0</v>
      </c>
      <c r="B13" s="15">
        <v>24.8</v>
      </c>
      <c r="C13" s="15">
        <v>0.48</v>
      </c>
      <c r="D13" s="15">
        <f t="shared" si="1"/>
        <v>24.32</v>
      </c>
      <c r="E13" s="17">
        <f t="shared" si="2"/>
        <v>25.28</v>
      </c>
      <c r="F13" s="15" t="str">
        <f t="shared" si="3"/>
        <v>conforme</v>
      </c>
    </row>
    <row r="14">
      <c r="A14" s="15">
        <v>9.0</v>
      </c>
      <c r="B14" s="15">
        <v>24.7</v>
      </c>
      <c r="C14" s="15">
        <v>0.46</v>
      </c>
      <c r="D14" s="15">
        <f t="shared" si="1"/>
        <v>24.24</v>
      </c>
      <c r="E14" s="17">
        <f t="shared" si="2"/>
        <v>25.16</v>
      </c>
      <c r="F14" s="15" t="str">
        <f t="shared" si="3"/>
        <v>conforme</v>
      </c>
    </row>
    <row r="18">
      <c r="E18" s="21">
        <v>1.0</v>
      </c>
      <c r="G18" s="15">
        <v>2.0</v>
      </c>
    </row>
    <row r="21" ht="15.75" customHeight="1">
      <c r="D21" s="15">
        <v>4.0</v>
      </c>
      <c r="G21" s="21">
        <v>3.0</v>
      </c>
    </row>
    <row r="22" ht="15.75" customHeight="1"/>
    <row r="23" ht="15.75" customHeight="1"/>
    <row r="24" ht="15.75" customHeight="1"/>
    <row r="25" ht="15.75" customHeight="1">
      <c r="E25" s="21">
        <v>5.0</v>
      </c>
    </row>
    <row r="26" ht="15.75" customHeight="1"/>
    <row r="27" ht="15.75" customHeight="1">
      <c r="E27" s="22">
        <v>6.0</v>
      </c>
      <c r="G27" s="17">
        <v>7.0</v>
      </c>
    </row>
    <row r="28" ht="15.75" customHeight="1"/>
    <row r="29" ht="15.75" customHeight="1"/>
    <row r="30" ht="15.75" customHeight="1">
      <c r="D30" s="22">
        <v>9.0</v>
      </c>
      <c r="G30" s="17">
        <v>8.0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4"/>
    <mergeCell ref="B1:E2"/>
    <mergeCell ref="G1:G2"/>
    <mergeCell ref="B3:E4"/>
    <mergeCell ref="G8:I10"/>
    <mergeCell ref="E25:F25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1.43"/>
    <col customWidth="1" min="6" max="6" width="16.29"/>
    <col customWidth="1" min="7" max="26" width="11.43"/>
  </cols>
  <sheetData>
    <row r="1">
      <c r="B1" s="5" t="s">
        <v>0</v>
      </c>
      <c r="C1" s="18" t="s">
        <v>1</v>
      </c>
      <c r="G1" s="4" t="s">
        <v>2</v>
      </c>
      <c r="H1" s="5" t="s">
        <v>3</v>
      </c>
    </row>
    <row r="2">
      <c r="B2" s="19"/>
      <c r="C2" s="6"/>
      <c r="G2" s="8" t="s">
        <v>4</v>
      </c>
      <c r="H2" s="9"/>
    </row>
    <row r="3">
      <c r="B3" s="19"/>
      <c r="C3" s="18" t="s">
        <v>5</v>
      </c>
      <c r="G3" s="10" t="s">
        <v>6</v>
      </c>
      <c r="H3" s="10" t="s">
        <v>7</v>
      </c>
    </row>
    <row r="4">
      <c r="B4" s="9"/>
      <c r="C4" s="6"/>
      <c r="G4" s="14">
        <v>42829.0</v>
      </c>
      <c r="H4" s="8">
        <v>1.0</v>
      </c>
    </row>
    <row r="5">
      <c r="B5" s="20">
        <v>2017.0</v>
      </c>
    </row>
    <row r="6">
      <c r="A6" s="15" t="s">
        <v>14</v>
      </c>
      <c r="B6" s="15" t="s">
        <v>9</v>
      </c>
      <c r="C6" s="15" t="s">
        <v>10</v>
      </c>
      <c r="D6" s="15" t="s">
        <v>11</v>
      </c>
      <c r="E6" s="15" t="s">
        <v>12</v>
      </c>
      <c r="F6" s="15" t="s">
        <v>13</v>
      </c>
      <c r="G6" s="33"/>
    </row>
    <row r="7">
      <c r="A7" s="15">
        <v>1.0</v>
      </c>
      <c r="B7" s="15">
        <v>3.8</v>
      </c>
      <c r="C7" s="15">
        <v>1.64</v>
      </c>
      <c r="D7" s="17">
        <f t="shared" ref="D7:D15" si="1">B7-C7</f>
        <v>2.16</v>
      </c>
      <c r="E7" s="34">
        <f t="shared" ref="E7:E15" si="2">B7+C7</f>
        <v>5.44</v>
      </c>
      <c r="F7" s="15" t="str">
        <f t="shared" ref="F7:F15" si="3">IF(AND(D7&gt;=1,E7&lt;=5),"conforme","non conforme")</f>
        <v>non conforme</v>
      </c>
      <c r="M7" s="35"/>
    </row>
    <row r="8">
      <c r="A8" s="15">
        <v>2.0</v>
      </c>
      <c r="B8" s="15">
        <v>4.0</v>
      </c>
      <c r="C8" s="15">
        <v>1.6</v>
      </c>
      <c r="D8" s="17">
        <f t="shared" si="1"/>
        <v>2.4</v>
      </c>
      <c r="E8" s="34">
        <f t="shared" si="2"/>
        <v>5.6</v>
      </c>
      <c r="F8" s="15" t="str">
        <f t="shared" si="3"/>
        <v>non conforme</v>
      </c>
      <c r="M8" s="35"/>
    </row>
    <row r="9">
      <c r="A9" s="15">
        <v>3.0</v>
      </c>
      <c r="B9" s="15">
        <v>3.7</v>
      </c>
      <c r="C9" s="15">
        <v>1.66</v>
      </c>
      <c r="D9" s="17">
        <f t="shared" si="1"/>
        <v>2.04</v>
      </c>
      <c r="E9" s="34">
        <f t="shared" si="2"/>
        <v>5.36</v>
      </c>
      <c r="F9" s="15" t="str">
        <f t="shared" si="3"/>
        <v>non conforme</v>
      </c>
      <c r="H9" s="36"/>
      <c r="I9" s="36"/>
      <c r="M9" s="35"/>
    </row>
    <row r="10">
      <c r="A10" s="15">
        <v>4.0</v>
      </c>
      <c r="B10" s="15">
        <v>3.6</v>
      </c>
      <c r="C10" s="15">
        <v>1.68</v>
      </c>
      <c r="D10" s="17">
        <f t="shared" si="1"/>
        <v>1.92</v>
      </c>
      <c r="E10" s="34">
        <f t="shared" si="2"/>
        <v>5.28</v>
      </c>
      <c r="F10" s="15" t="str">
        <f t="shared" si="3"/>
        <v>non conforme</v>
      </c>
      <c r="H10" s="36"/>
      <c r="I10" s="36"/>
      <c r="M10" s="35"/>
    </row>
    <row r="11">
      <c r="A11" s="15">
        <v>5.0</v>
      </c>
      <c r="B11" s="15">
        <v>3.4</v>
      </c>
      <c r="C11" s="15">
        <v>1.68</v>
      </c>
      <c r="D11" s="17">
        <f t="shared" si="1"/>
        <v>1.72</v>
      </c>
      <c r="E11" s="34">
        <f t="shared" si="2"/>
        <v>5.08</v>
      </c>
      <c r="F11" s="15" t="str">
        <f t="shared" si="3"/>
        <v>non conforme</v>
      </c>
      <c r="M11" s="35"/>
    </row>
    <row r="12">
      <c r="A12" s="15">
        <v>6.0</v>
      </c>
      <c r="B12" s="15">
        <v>3.6</v>
      </c>
      <c r="C12" s="15">
        <v>1.47</v>
      </c>
      <c r="D12" s="17">
        <f t="shared" si="1"/>
        <v>2.13</v>
      </c>
      <c r="E12" s="34">
        <f t="shared" si="2"/>
        <v>5.07</v>
      </c>
      <c r="F12" s="15" t="str">
        <f t="shared" si="3"/>
        <v>non conforme</v>
      </c>
      <c r="M12" s="35"/>
    </row>
    <row r="13">
      <c r="A13" s="15">
        <v>7.0</v>
      </c>
      <c r="B13" s="15">
        <v>3.7</v>
      </c>
      <c r="C13" s="15">
        <v>1.73</v>
      </c>
      <c r="D13" s="17">
        <f t="shared" si="1"/>
        <v>1.97</v>
      </c>
      <c r="E13" s="34">
        <f t="shared" si="2"/>
        <v>5.43</v>
      </c>
      <c r="F13" s="15" t="str">
        <f t="shared" si="3"/>
        <v>non conforme</v>
      </c>
      <c r="M13" s="35"/>
      <c r="N13" s="17"/>
    </row>
    <row r="14">
      <c r="A14" s="15">
        <v>8.0</v>
      </c>
      <c r="B14" s="15">
        <v>3.5</v>
      </c>
      <c r="C14" s="15">
        <v>1.81</v>
      </c>
      <c r="D14" s="17">
        <f t="shared" si="1"/>
        <v>1.69</v>
      </c>
      <c r="E14" s="34">
        <f t="shared" si="2"/>
        <v>5.31</v>
      </c>
      <c r="F14" s="15" t="str">
        <f t="shared" si="3"/>
        <v>non conforme</v>
      </c>
      <c r="M14" s="35"/>
      <c r="N14" s="17"/>
    </row>
    <row r="15">
      <c r="A15" s="15">
        <v>9.0</v>
      </c>
      <c r="B15" s="15">
        <v>3.4</v>
      </c>
      <c r="C15" s="15">
        <v>1.47</v>
      </c>
      <c r="D15" s="17">
        <f t="shared" si="1"/>
        <v>1.93</v>
      </c>
      <c r="E15" s="34">
        <f t="shared" si="2"/>
        <v>4.87</v>
      </c>
      <c r="F15" s="15" t="str">
        <f t="shared" si="3"/>
        <v>conforme</v>
      </c>
      <c r="M15" s="35"/>
      <c r="N15" s="17"/>
    </row>
    <row r="16">
      <c r="B16" s="15" t="s">
        <v>16</v>
      </c>
    </row>
    <row r="19">
      <c r="E19" s="21">
        <v>1.0</v>
      </c>
      <c r="G19" s="15">
        <v>2.0</v>
      </c>
    </row>
    <row r="21" ht="15.75" customHeight="1"/>
    <row r="22" ht="15.75" customHeight="1">
      <c r="D22" s="15">
        <v>4.0</v>
      </c>
      <c r="G22" s="21">
        <v>3.0</v>
      </c>
    </row>
    <row r="23" ht="15.75" customHeight="1"/>
    <row r="24" ht="15.75" customHeight="1"/>
    <row r="25" ht="15.75" customHeight="1"/>
    <row r="26" ht="15.75" customHeight="1">
      <c r="E26" s="21">
        <v>5.0</v>
      </c>
    </row>
    <row r="27" ht="15.75" customHeight="1"/>
    <row r="28" ht="15.75" customHeight="1">
      <c r="E28" s="22">
        <v>6.0</v>
      </c>
      <c r="G28" s="17">
        <v>7.0</v>
      </c>
    </row>
    <row r="29" ht="15.75" customHeight="1"/>
    <row r="30" ht="15.75" customHeight="1"/>
    <row r="31" ht="15.75" customHeight="1">
      <c r="D31" s="22">
        <v>9.0</v>
      </c>
      <c r="G31" s="17">
        <v>8.0</v>
      </c>
    </row>
    <row r="32" ht="15.75" customHeight="1"/>
    <row r="33" ht="15.75" customHeight="1">
      <c r="B33" s="23"/>
      <c r="C33" s="23"/>
      <c r="D33" s="23"/>
      <c r="E33" s="23"/>
      <c r="F33" s="23"/>
    </row>
    <row r="34" ht="15.75" customHeight="1"/>
    <row r="35" ht="15.75" customHeight="1">
      <c r="D35" s="35"/>
    </row>
    <row r="36" ht="15.75" customHeight="1">
      <c r="D36" s="35"/>
    </row>
    <row r="37" ht="15.75" customHeight="1">
      <c r="D37" s="35"/>
    </row>
    <row r="38" ht="15.75" customHeight="1">
      <c r="D38" s="35"/>
    </row>
    <row r="39" ht="15.75" customHeight="1">
      <c r="D39" s="35"/>
    </row>
    <row r="40" ht="15.75" customHeight="1">
      <c r="D40" s="35"/>
    </row>
    <row r="41" ht="15.75" customHeight="1">
      <c r="D41" s="35"/>
      <c r="E41" s="17"/>
    </row>
    <row r="42" ht="15.75" customHeight="1">
      <c r="D42" s="35"/>
      <c r="E42" s="17"/>
    </row>
    <row r="43" ht="15.75" customHeight="1">
      <c r="D43" s="35"/>
      <c r="E43" s="17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B4"/>
    <mergeCell ref="C1:F2"/>
    <mergeCell ref="H1:H2"/>
    <mergeCell ref="C3:F4"/>
    <mergeCell ref="B5:F5"/>
    <mergeCell ref="E26:F26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7" width="16.43"/>
    <col customWidth="1" min="8" max="9" width="11.43"/>
    <col customWidth="1" min="10" max="10" width="13.43"/>
    <col customWidth="1" min="11" max="26" width="11.43"/>
  </cols>
  <sheetData>
    <row r="1">
      <c r="A1" s="5" t="s">
        <v>0</v>
      </c>
      <c r="B1" s="18" t="s">
        <v>1</v>
      </c>
      <c r="F1" s="4" t="s">
        <v>2</v>
      </c>
      <c r="G1" s="5" t="s">
        <v>3</v>
      </c>
    </row>
    <row r="2">
      <c r="A2" s="19"/>
      <c r="B2" s="6"/>
      <c r="F2" s="8" t="s">
        <v>4</v>
      </c>
      <c r="G2" s="9"/>
    </row>
    <row r="3">
      <c r="A3" s="19"/>
      <c r="B3" s="18" t="s">
        <v>5</v>
      </c>
      <c r="F3" s="10" t="s">
        <v>6</v>
      </c>
      <c r="G3" s="10" t="s">
        <v>7</v>
      </c>
    </row>
    <row r="4">
      <c r="A4" s="9"/>
      <c r="B4" s="6"/>
      <c r="F4" s="14">
        <v>42829.0</v>
      </c>
      <c r="G4" s="8">
        <v>1.0</v>
      </c>
    </row>
    <row r="5">
      <c r="E5" s="21"/>
      <c r="H5" s="21"/>
    </row>
    <row r="6">
      <c r="A6" s="15" t="s">
        <v>14</v>
      </c>
      <c r="B6" s="15" t="s">
        <v>18</v>
      </c>
      <c r="C6" s="15" t="s">
        <v>9</v>
      </c>
      <c r="D6" s="15" t="s">
        <v>10</v>
      </c>
      <c r="E6" s="15" t="s">
        <v>11</v>
      </c>
      <c r="F6" s="15" t="s">
        <v>12</v>
      </c>
      <c r="G6" s="15" t="s">
        <v>13</v>
      </c>
      <c r="H6" s="15" t="s">
        <v>19</v>
      </c>
    </row>
    <row r="7">
      <c r="A7" s="16">
        <v>1.0</v>
      </c>
      <c r="B7" s="16">
        <v>5.0</v>
      </c>
      <c r="C7" s="16">
        <v>3.4</v>
      </c>
      <c r="D7" s="16">
        <v>2.81</v>
      </c>
      <c r="E7" s="16">
        <f t="shared" ref="E7:E15" si="1">C7-D7</f>
        <v>0.59</v>
      </c>
      <c r="F7" s="16">
        <f t="shared" ref="F7:F15" si="2">C7+D7</f>
        <v>6.21</v>
      </c>
      <c r="G7" s="16" t="str">
        <f t="shared" ref="G7:G15" si="3">IF(AND(E7&gt;=2,F7&lt;=8),"conforme","non conforme")</f>
        <v>non conforme</v>
      </c>
      <c r="H7" s="15" t="str">
        <f t="shared" ref="H7:H8" si="4">IF(AND(C7&gt;2,C7&lt;8),"conforme","non conforme")</f>
        <v>conforme</v>
      </c>
    </row>
    <row r="8">
      <c r="A8" s="15">
        <v>2.0</v>
      </c>
      <c r="B8" s="15">
        <v>5.0</v>
      </c>
      <c r="C8" s="15">
        <v>5.5</v>
      </c>
      <c r="D8" s="15">
        <v>0.58</v>
      </c>
      <c r="E8" s="17">
        <f t="shared" si="1"/>
        <v>4.92</v>
      </c>
      <c r="F8" s="17">
        <f t="shared" si="2"/>
        <v>6.08</v>
      </c>
      <c r="G8" s="15" t="str">
        <f t="shared" si="3"/>
        <v>conforme</v>
      </c>
      <c r="H8" s="15" t="str">
        <f t="shared" si="4"/>
        <v>conforme</v>
      </c>
    </row>
    <row r="9">
      <c r="A9" s="16">
        <v>3.0</v>
      </c>
      <c r="B9" s="16">
        <v>5.0</v>
      </c>
      <c r="C9" s="16">
        <v>3.5</v>
      </c>
      <c r="D9" s="16">
        <v>3.88</v>
      </c>
      <c r="E9" s="16">
        <f t="shared" si="1"/>
        <v>-0.38</v>
      </c>
      <c r="F9" s="16">
        <f t="shared" si="2"/>
        <v>7.38</v>
      </c>
      <c r="G9" s="16" t="str">
        <f t="shared" si="3"/>
        <v>non conforme</v>
      </c>
      <c r="H9" s="15" t="str">
        <f t="shared" ref="H9:H15" si="5">IF(AND(C9&gt;2,C9&lt;5),"conforme","non conforme")</f>
        <v>conforme</v>
      </c>
    </row>
    <row r="10">
      <c r="A10" s="16">
        <v>4.0</v>
      </c>
      <c r="B10" s="16">
        <v>5.0</v>
      </c>
      <c r="C10" s="16">
        <v>3.7</v>
      </c>
      <c r="D10" s="16">
        <v>3.08</v>
      </c>
      <c r="E10" s="16">
        <f t="shared" si="1"/>
        <v>0.62</v>
      </c>
      <c r="F10" s="16">
        <f t="shared" si="2"/>
        <v>6.78</v>
      </c>
      <c r="G10" s="16" t="str">
        <f t="shared" si="3"/>
        <v>non conforme</v>
      </c>
      <c r="H10" s="15" t="str">
        <f t="shared" si="5"/>
        <v>conforme</v>
      </c>
    </row>
    <row r="11">
      <c r="A11" s="15">
        <v>5.0</v>
      </c>
      <c r="B11" s="15">
        <v>5.0</v>
      </c>
      <c r="C11" s="15">
        <v>5.5</v>
      </c>
      <c r="D11" s="15">
        <v>1.53</v>
      </c>
      <c r="E11" s="17">
        <f t="shared" si="1"/>
        <v>3.97</v>
      </c>
      <c r="F11" s="17">
        <f t="shared" si="2"/>
        <v>7.03</v>
      </c>
      <c r="G11" s="15" t="str">
        <f t="shared" si="3"/>
        <v>conforme</v>
      </c>
      <c r="H11" s="15" t="str">
        <f t="shared" si="5"/>
        <v>non conforme</v>
      </c>
    </row>
    <row r="12">
      <c r="A12" s="15">
        <v>6.0</v>
      </c>
      <c r="B12" s="15">
        <v>5.0</v>
      </c>
      <c r="C12" s="15">
        <v>5.0</v>
      </c>
      <c r="D12" s="15">
        <v>0.53</v>
      </c>
      <c r="E12" s="17">
        <f t="shared" si="1"/>
        <v>4.47</v>
      </c>
      <c r="F12" s="17">
        <f t="shared" si="2"/>
        <v>5.53</v>
      </c>
      <c r="G12" s="15" t="str">
        <f t="shared" si="3"/>
        <v>conforme</v>
      </c>
      <c r="H12" s="15" t="str">
        <f t="shared" si="5"/>
        <v>non conforme</v>
      </c>
    </row>
    <row r="13">
      <c r="A13" s="15">
        <v>7.0</v>
      </c>
      <c r="B13" s="15">
        <v>5.0</v>
      </c>
      <c r="C13" s="15">
        <v>5.5</v>
      </c>
      <c r="D13" s="15">
        <v>0.84</v>
      </c>
      <c r="E13" s="17">
        <f t="shared" si="1"/>
        <v>4.66</v>
      </c>
      <c r="F13" s="17">
        <f t="shared" si="2"/>
        <v>6.34</v>
      </c>
      <c r="G13" s="15" t="str">
        <f t="shared" si="3"/>
        <v>conforme</v>
      </c>
      <c r="H13" s="15" t="str">
        <f t="shared" si="5"/>
        <v>non conforme</v>
      </c>
    </row>
    <row r="14">
      <c r="A14" s="15">
        <v>8.0</v>
      </c>
      <c r="B14" s="15">
        <v>5.0</v>
      </c>
      <c r="C14" s="15">
        <v>5.6</v>
      </c>
      <c r="D14" s="15">
        <v>0.73</v>
      </c>
      <c r="E14" s="17">
        <f t="shared" si="1"/>
        <v>4.87</v>
      </c>
      <c r="F14" s="17">
        <f t="shared" si="2"/>
        <v>6.33</v>
      </c>
      <c r="G14" s="17" t="str">
        <f t="shared" si="3"/>
        <v>conforme</v>
      </c>
      <c r="H14" s="15" t="str">
        <f t="shared" si="5"/>
        <v>non conforme</v>
      </c>
    </row>
    <row r="15">
      <c r="A15" s="16">
        <v>9.0</v>
      </c>
      <c r="B15" s="16">
        <v>5.0</v>
      </c>
      <c r="C15" s="16">
        <v>3.4</v>
      </c>
      <c r="D15" s="16">
        <v>2.82</v>
      </c>
      <c r="E15" s="16">
        <f t="shared" si="1"/>
        <v>0.58</v>
      </c>
      <c r="F15" s="16">
        <f t="shared" si="2"/>
        <v>6.22</v>
      </c>
      <c r="G15" s="16" t="str">
        <f t="shared" si="3"/>
        <v>non conforme</v>
      </c>
      <c r="H15" s="15" t="str">
        <f t="shared" si="5"/>
        <v>conforme</v>
      </c>
    </row>
    <row r="19">
      <c r="F19" s="21">
        <v>1.0</v>
      </c>
      <c r="H19" s="15">
        <v>2.0</v>
      </c>
    </row>
    <row r="21" ht="15.75" customHeight="1"/>
    <row r="22" ht="15.75" customHeight="1">
      <c r="E22" s="15">
        <v>4.0</v>
      </c>
      <c r="H22" s="21">
        <v>3.0</v>
      </c>
    </row>
    <row r="23" ht="15.75" customHeight="1"/>
    <row r="24" ht="15.75" customHeight="1"/>
    <row r="25" ht="15.75" customHeight="1"/>
    <row r="26" ht="15.75" customHeight="1">
      <c r="F26" s="21">
        <v>5.0</v>
      </c>
    </row>
    <row r="27" ht="15.75" customHeight="1"/>
    <row r="28" ht="15.75" customHeight="1">
      <c r="F28" s="22">
        <v>6.0</v>
      </c>
      <c r="H28" s="17">
        <v>7.0</v>
      </c>
    </row>
    <row r="29" ht="15.75" customHeight="1"/>
    <row r="30" ht="15.75" customHeight="1"/>
    <row r="31" ht="15.75" customHeight="1">
      <c r="E31" s="22">
        <v>9.0</v>
      </c>
      <c r="H31" s="17">
        <v>8.0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4"/>
    <mergeCell ref="B1:E2"/>
    <mergeCell ref="G1:G2"/>
    <mergeCell ref="B3:E4"/>
    <mergeCell ref="E5:G5"/>
    <mergeCell ref="H5:J5"/>
    <mergeCell ref="F26:G26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7" width="16.43"/>
    <col customWidth="1" min="8" max="9" width="11.43"/>
    <col customWidth="1" min="10" max="10" width="13.43"/>
    <col customWidth="1" min="11" max="26" width="11.43"/>
  </cols>
  <sheetData>
    <row r="1">
      <c r="A1" s="5" t="s">
        <v>0</v>
      </c>
      <c r="B1" s="18" t="s">
        <v>1</v>
      </c>
      <c r="F1" s="4" t="s">
        <v>2</v>
      </c>
      <c r="G1" s="5" t="s">
        <v>3</v>
      </c>
    </row>
    <row r="2">
      <c r="A2" s="19"/>
      <c r="B2" s="6"/>
      <c r="F2" s="8" t="s">
        <v>4</v>
      </c>
      <c r="G2" s="9"/>
    </row>
    <row r="3">
      <c r="A3" s="19"/>
      <c r="B3" s="18" t="s">
        <v>5</v>
      </c>
      <c r="F3" s="10" t="s">
        <v>6</v>
      </c>
      <c r="G3" s="10" t="s">
        <v>7</v>
      </c>
    </row>
    <row r="4">
      <c r="A4" s="9"/>
      <c r="B4" s="6"/>
      <c r="F4" s="14">
        <v>42829.0</v>
      </c>
      <c r="G4" s="8">
        <v>1.0</v>
      </c>
    </row>
    <row r="5">
      <c r="E5" s="21"/>
      <c r="H5" s="21"/>
    </row>
    <row r="6">
      <c r="A6" s="15" t="s">
        <v>14</v>
      </c>
      <c r="B6" s="15" t="s">
        <v>18</v>
      </c>
      <c r="C6" s="15" t="s">
        <v>9</v>
      </c>
      <c r="D6" s="15" t="s">
        <v>10</v>
      </c>
      <c r="E6" s="15" t="s">
        <v>11</v>
      </c>
      <c r="F6" s="15" t="s">
        <v>12</v>
      </c>
      <c r="G6" s="15" t="s">
        <v>13</v>
      </c>
      <c r="H6" s="15" t="s">
        <v>19</v>
      </c>
    </row>
    <row r="7">
      <c r="A7" s="15">
        <v>1.0</v>
      </c>
      <c r="B7" s="15">
        <v>-20.0</v>
      </c>
      <c r="C7" s="15">
        <v>-24.0</v>
      </c>
      <c r="D7" s="15">
        <v>1.3</v>
      </c>
      <c r="E7" s="17">
        <f t="shared" ref="E7:E15" si="1">C7-D7</f>
        <v>-25.3</v>
      </c>
      <c r="F7" s="17">
        <f t="shared" ref="F7:F15" si="2">C7+D7</f>
        <v>-22.7</v>
      </c>
      <c r="G7" s="15" t="str">
        <f t="shared" ref="G7:G15" si="3">IF(AND(E7&gt;=2,F7&lt;=8),"conforme","non conforme")</f>
        <v>non conforme</v>
      </c>
      <c r="H7" s="15" t="str">
        <f t="shared" ref="H7:H15" si="4">IF(AND(C7&gt;2,C7&lt;5),"conforme","non conforme")</f>
        <v>non conforme</v>
      </c>
    </row>
    <row r="8">
      <c r="A8" s="15">
        <v>2.0</v>
      </c>
      <c r="B8" s="15">
        <v>-20.0</v>
      </c>
      <c r="C8" s="15">
        <v>-23.5</v>
      </c>
      <c r="D8" s="15">
        <v>1.2</v>
      </c>
      <c r="E8" s="17">
        <f t="shared" si="1"/>
        <v>-24.7</v>
      </c>
      <c r="F8" s="17">
        <f t="shared" si="2"/>
        <v>-22.3</v>
      </c>
      <c r="G8" s="15" t="str">
        <f t="shared" si="3"/>
        <v>non conforme</v>
      </c>
      <c r="H8" s="15" t="str">
        <f t="shared" si="4"/>
        <v>non conforme</v>
      </c>
    </row>
    <row r="9">
      <c r="A9" s="15">
        <v>3.0</v>
      </c>
      <c r="B9" s="15">
        <v>-20.0</v>
      </c>
      <c r="C9" s="15">
        <v>-23.6</v>
      </c>
      <c r="D9" s="15">
        <v>1.1</v>
      </c>
      <c r="E9" s="17">
        <f t="shared" si="1"/>
        <v>-24.7</v>
      </c>
      <c r="F9" s="17">
        <f t="shared" si="2"/>
        <v>-22.5</v>
      </c>
      <c r="G9" s="15" t="str">
        <f t="shared" si="3"/>
        <v>non conforme</v>
      </c>
      <c r="H9" s="15" t="str">
        <f t="shared" si="4"/>
        <v>non conforme</v>
      </c>
    </row>
    <row r="10">
      <c r="A10" s="15">
        <v>4.0</v>
      </c>
      <c r="B10" s="15">
        <v>-20.0</v>
      </c>
      <c r="C10" s="15">
        <v>-23.8</v>
      </c>
      <c r="D10" s="15">
        <v>1.1</v>
      </c>
      <c r="E10" s="17">
        <f t="shared" si="1"/>
        <v>-24.9</v>
      </c>
      <c r="F10" s="17">
        <f t="shared" si="2"/>
        <v>-22.7</v>
      </c>
      <c r="G10" s="15" t="str">
        <f t="shared" si="3"/>
        <v>non conforme</v>
      </c>
      <c r="H10" s="15" t="str">
        <f t="shared" si="4"/>
        <v>non conforme</v>
      </c>
    </row>
    <row r="11">
      <c r="A11" s="15">
        <v>5.0</v>
      </c>
      <c r="B11" s="15">
        <v>-20.0</v>
      </c>
      <c r="C11" s="15">
        <v>-21.7</v>
      </c>
      <c r="D11" s="15">
        <v>1.1</v>
      </c>
      <c r="E11" s="17">
        <f t="shared" si="1"/>
        <v>-22.8</v>
      </c>
      <c r="F11" s="17">
        <f t="shared" si="2"/>
        <v>-20.6</v>
      </c>
      <c r="G11" s="15" t="str">
        <f t="shared" si="3"/>
        <v>non conforme</v>
      </c>
      <c r="H11" s="15" t="str">
        <f t="shared" si="4"/>
        <v>non conforme</v>
      </c>
    </row>
    <row r="12">
      <c r="A12" s="15">
        <v>6.0</v>
      </c>
      <c r="B12" s="15">
        <v>-20.0</v>
      </c>
      <c r="C12" s="15">
        <v>-21.8</v>
      </c>
      <c r="D12" s="15">
        <v>1.3</v>
      </c>
      <c r="E12" s="17">
        <f t="shared" si="1"/>
        <v>-23.1</v>
      </c>
      <c r="F12" s="17">
        <f t="shared" si="2"/>
        <v>-20.5</v>
      </c>
      <c r="G12" s="15" t="str">
        <f t="shared" si="3"/>
        <v>non conforme</v>
      </c>
      <c r="H12" s="15" t="str">
        <f t="shared" si="4"/>
        <v>non conforme</v>
      </c>
    </row>
    <row r="13">
      <c r="A13" s="15">
        <v>7.0</v>
      </c>
      <c r="B13" s="15">
        <v>-20.0</v>
      </c>
      <c r="C13" s="15">
        <v>-22.0</v>
      </c>
      <c r="D13" s="15">
        <v>1.3</v>
      </c>
      <c r="E13" s="17">
        <f t="shared" si="1"/>
        <v>-23.3</v>
      </c>
      <c r="F13" s="17">
        <f t="shared" si="2"/>
        <v>-20.7</v>
      </c>
      <c r="G13" s="15" t="str">
        <f t="shared" si="3"/>
        <v>non conforme</v>
      </c>
      <c r="H13" s="15" t="str">
        <f t="shared" si="4"/>
        <v>non conforme</v>
      </c>
    </row>
    <row r="14">
      <c r="A14" s="15">
        <v>8.0</v>
      </c>
      <c r="B14" s="15">
        <v>-20.0</v>
      </c>
      <c r="C14" s="15">
        <v>-22.3</v>
      </c>
      <c r="D14" s="15">
        <v>1.6</v>
      </c>
      <c r="E14" s="17">
        <f t="shared" si="1"/>
        <v>-23.9</v>
      </c>
      <c r="F14" s="17">
        <f t="shared" si="2"/>
        <v>-20.7</v>
      </c>
      <c r="G14" s="17" t="str">
        <f t="shared" si="3"/>
        <v>non conforme</v>
      </c>
      <c r="H14" s="15" t="str">
        <f t="shared" si="4"/>
        <v>non conforme</v>
      </c>
    </row>
    <row r="15">
      <c r="A15" s="15">
        <v>9.0</v>
      </c>
      <c r="B15" s="15">
        <v>-20.0</v>
      </c>
      <c r="C15" s="15">
        <v>-22.0</v>
      </c>
      <c r="D15" s="15">
        <v>1.1</v>
      </c>
      <c r="E15" s="17">
        <f t="shared" si="1"/>
        <v>-23.1</v>
      </c>
      <c r="F15" s="17">
        <f t="shared" si="2"/>
        <v>-20.9</v>
      </c>
      <c r="G15" s="15" t="str">
        <f t="shared" si="3"/>
        <v>non conforme</v>
      </c>
      <c r="H15" s="15" t="str">
        <f t="shared" si="4"/>
        <v>non conforme</v>
      </c>
    </row>
    <row r="19">
      <c r="F19" s="21">
        <v>1.0</v>
      </c>
      <c r="H19" s="15">
        <v>2.0</v>
      </c>
    </row>
    <row r="21" ht="15.75" customHeight="1"/>
    <row r="22" ht="15.75" customHeight="1">
      <c r="E22" s="15">
        <v>4.0</v>
      </c>
      <c r="H22" s="21">
        <v>3.0</v>
      </c>
    </row>
    <row r="23" ht="15.75" customHeight="1"/>
    <row r="24" ht="15.75" customHeight="1"/>
    <row r="25" ht="15.75" customHeight="1"/>
    <row r="26" ht="15.75" customHeight="1">
      <c r="F26" s="21">
        <v>5.0</v>
      </c>
    </row>
    <row r="27" ht="15.75" customHeight="1"/>
    <row r="28" ht="15.75" customHeight="1">
      <c r="F28" s="22">
        <v>6.0</v>
      </c>
      <c r="H28" s="17">
        <v>7.0</v>
      </c>
    </row>
    <row r="29" ht="15.75" customHeight="1"/>
    <row r="30" ht="15.75" customHeight="1"/>
    <row r="31" ht="15.75" customHeight="1">
      <c r="E31" s="22">
        <v>9.0</v>
      </c>
      <c r="H31" s="17">
        <v>8.0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4"/>
    <mergeCell ref="B1:E2"/>
    <mergeCell ref="G1:G2"/>
    <mergeCell ref="B3:E4"/>
    <mergeCell ref="E5:G5"/>
    <mergeCell ref="H5:J5"/>
    <mergeCell ref="F26:G26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43"/>
    <col customWidth="1" min="7" max="7" width="16.0"/>
    <col customWidth="1" min="8" max="26" width="11.43"/>
  </cols>
  <sheetData>
    <row r="1">
      <c r="A1" s="1" t="s">
        <v>0</v>
      </c>
      <c r="B1" s="1" t="s">
        <v>1</v>
      </c>
      <c r="C1" s="2"/>
      <c r="D1" s="2"/>
      <c r="E1" s="3"/>
      <c r="F1" s="4" t="s">
        <v>2</v>
      </c>
      <c r="G1" s="5" t="s">
        <v>3</v>
      </c>
    </row>
    <row r="2">
      <c r="A2" s="6"/>
      <c r="B2" s="11"/>
      <c r="C2" s="12"/>
      <c r="D2" s="12"/>
      <c r="E2" s="13"/>
      <c r="F2" s="8" t="s">
        <v>4</v>
      </c>
      <c r="G2" s="9"/>
    </row>
    <row r="3">
      <c r="A3" s="6"/>
      <c r="B3" s="1" t="s">
        <v>5</v>
      </c>
      <c r="C3" s="2"/>
      <c r="D3" s="2"/>
      <c r="E3" s="3"/>
      <c r="F3" s="10" t="s">
        <v>6</v>
      </c>
      <c r="G3" s="10" t="s">
        <v>7</v>
      </c>
    </row>
    <row r="4">
      <c r="A4" s="11"/>
      <c r="B4" s="11"/>
      <c r="C4" s="12"/>
      <c r="D4" s="12"/>
      <c r="E4" s="13"/>
      <c r="F4" s="14">
        <v>42829.0</v>
      </c>
      <c r="G4" s="8">
        <v>1.0</v>
      </c>
    </row>
    <row r="7">
      <c r="A7" s="23" t="s">
        <v>14</v>
      </c>
      <c r="B7" s="23" t="s">
        <v>20</v>
      </c>
      <c r="C7" s="23" t="s">
        <v>21</v>
      </c>
      <c r="D7" s="23" t="s">
        <v>10</v>
      </c>
      <c r="E7" s="23" t="s">
        <v>11</v>
      </c>
      <c r="F7" s="23" t="s">
        <v>12</v>
      </c>
      <c r="G7" s="23" t="s">
        <v>13</v>
      </c>
    </row>
    <row r="8">
      <c r="A8" s="15" t="s">
        <v>22</v>
      </c>
      <c r="B8" s="15">
        <v>560.0</v>
      </c>
      <c r="C8" s="15">
        <v>552.6</v>
      </c>
      <c r="D8" s="15">
        <v>5.85</v>
      </c>
      <c r="E8" s="15">
        <f t="shared" ref="E8:E10" si="1">C8-D8</f>
        <v>546.75</v>
      </c>
      <c r="F8" s="15">
        <f t="shared" ref="F8:F10" si="2">C8+D8</f>
        <v>558.45</v>
      </c>
      <c r="G8" s="17" t="str">
        <f t="shared" ref="G8:G10" si="3">IF(OR(E8&lt;540,F8&gt;560),"non conforme","conforme")</f>
        <v>conforme</v>
      </c>
    </row>
    <row r="9">
      <c r="A9" s="15" t="s">
        <v>23</v>
      </c>
      <c r="B9" s="15">
        <v>560.0</v>
      </c>
      <c r="C9" s="15">
        <v>554.6</v>
      </c>
      <c r="D9" s="15">
        <v>5.85</v>
      </c>
      <c r="E9" s="15">
        <f t="shared" si="1"/>
        <v>548.75</v>
      </c>
      <c r="F9" s="15">
        <f t="shared" si="2"/>
        <v>560.45</v>
      </c>
      <c r="G9" s="17" t="str">
        <f t="shared" si="3"/>
        <v>non conforme</v>
      </c>
    </row>
    <row r="10">
      <c r="A10" s="15" t="s">
        <v>24</v>
      </c>
      <c r="B10" s="15">
        <v>560.0</v>
      </c>
      <c r="C10" s="15">
        <v>553.3</v>
      </c>
      <c r="D10" s="15">
        <v>5.85</v>
      </c>
      <c r="E10" s="15">
        <f t="shared" si="1"/>
        <v>547.45</v>
      </c>
      <c r="F10" s="15">
        <f t="shared" si="2"/>
        <v>559.15</v>
      </c>
      <c r="G10" s="17" t="str">
        <f t="shared" si="3"/>
        <v>conforme</v>
      </c>
    </row>
    <row r="12">
      <c r="F12" s="37"/>
    </row>
    <row r="13">
      <c r="F13" s="37"/>
    </row>
    <row r="14">
      <c r="F14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B28" s="38" t="s">
        <v>25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4"/>
    <mergeCell ref="B1:E2"/>
    <mergeCell ref="G1:G2"/>
    <mergeCell ref="B3:E4"/>
    <mergeCell ref="B28:D29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>
      <c r="A1" s="1" t="s">
        <v>0</v>
      </c>
      <c r="B1" s="1" t="s">
        <v>1</v>
      </c>
      <c r="C1" s="2"/>
      <c r="D1" s="2"/>
      <c r="E1" s="3"/>
      <c r="F1" s="4" t="s">
        <v>2</v>
      </c>
      <c r="G1" s="5" t="s">
        <v>3</v>
      </c>
    </row>
    <row r="2">
      <c r="A2" s="6"/>
      <c r="B2" s="11"/>
      <c r="C2" s="12"/>
      <c r="D2" s="12"/>
      <c r="E2" s="13"/>
      <c r="F2" s="8" t="s">
        <v>4</v>
      </c>
      <c r="G2" s="9"/>
    </row>
    <row r="3">
      <c r="A3" s="6"/>
      <c r="B3" s="1" t="s">
        <v>5</v>
      </c>
      <c r="C3" s="2"/>
      <c r="D3" s="2"/>
      <c r="E3" s="3"/>
      <c r="F3" s="10" t="s">
        <v>6</v>
      </c>
      <c r="G3" s="10" t="s">
        <v>7</v>
      </c>
    </row>
    <row r="4">
      <c r="A4" s="11"/>
      <c r="B4" s="11"/>
      <c r="C4" s="12"/>
      <c r="D4" s="12"/>
      <c r="E4" s="13"/>
      <c r="F4" s="14">
        <v>42829.0</v>
      </c>
      <c r="G4" s="8">
        <v>1.0</v>
      </c>
    </row>
    <row r="7">
      <c r="A7" s="23" t="s">
        <v>14</v>
      </c>
      <c r="B7" s="23" t="s">
        <v>20</v>
      </c>
      <c r="C7" s="23" t="s">
        <v>21</v>
      </c>
      <c r="D7" s="23" t="s">
        <v>10</v>
      </c>
      <c r="E7" s="23" t="s">
        <v>11</v>
      </c>
      <c r="F7" s="23" t="s">
        <v>12</v>
      </c>
      <c r="G7" s="23" t="s">
        <v>13</v>
      </c>
    </row>
    <row r="8">
      <c r="A8" s="15" t="s">
        <v>22</v>
      </c>
      <c r="B8" s="15">
        <v>560.0</v>
      </c>
      <c r="C8" s="15">
        <v>549.1</v>
      </c>
      <c r="D8" s="15">
        <v>5.2</v>
      </c>
      <c r="E8" s="15">
        <f t="shared" ref="E8:E10" si="1">C8-D8</f>
        <v>543.9</v>
      </c>
      <c r="F8" s="15">
        <f t="shared" ref="F8:F10" si="2">C8+D8</f>
        <v>554.3</v>
      </c>
      <c r="G8" s="15" t="str">
        <f t="shared" ref="G8:G10" si="3">IF(OR(E8&lt;540,F8&gt;560),"non conforme","conforme")</f>
        <v>conforme</v>
      </c>
    </row>
    <row r="9">
      <c r="A9" s="15" t="s">
        <v>23</v>
      </c>
      <c r="B9" s="15">
        <v>560.0</v>
      </c>
      <c r="C9" s="15">
        <v>553.6</v>
      </c>
      <c r="D9" s="15">
        <v>5.2</v>
      </c>
      <c r="E9" s="15">
        <f t="shared" si="1"/>
        <v>548.4</v>
      </c>
      <c r="F9" s="15">
        <f t="shared" si="2"/>
        <v>558.8</v>
      </c>
      <c r="G9" s="15" t="str">
        <f t="shared" si="3"/>
        <v>conforme</v>
      </c>
    </row>
    <row r="10">
      <c r="A10" s="15" t="s">
        <v>24</v>
      </c>
      <c r="B10" s="15">
        <v>560.0</v>
      </c>
      <c r="C10" s="15">
        <v>547.4</v>
      </c>
      <c r="D10" s="15">
        <v>5.2</v>
      </c>
      <c r="E10" s="15">
        <f t="shared" si="1"/>
        <v>542.2</v>
      </c>
      <c r="F10" s="15">
        <f t="shared" si="2"/>
        <v>552.6</v>
      </c>
      <c r="G10" s="15" t="str">
        <f t="shared" si="3"/>
        <v>conforme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B29" s="38" t="s">
        <v>26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4"/>
    <mergeCell ref="B1:E2"/>
    <mergeCell ref="G1:G2"/>
    <mergeCell ref="B3:E4"/>
    <mergeCell ref="B29:D30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>
      <c r="A1" s="1" t="s">
        <v>0</v>
      </c>
      <c r="B1" s="1" t="s">
        <v>1</v>
      </c>
      <c r="C1" s="2"/>
      <c r="D1" s="2"/>
      <c r="E1" s="3"/>
      <c r="F1" s="4" t="s">
        <v>2</v>
      </c>
      <c r="G1" s="5" t="s">
        <v>3</v>
      </c>
    </row>
    <row r="2">
      <c r="A2" s="6"/>
      <c r="B2" s="11"/>
      <c r="C2" s="12"/>
      <c r="D2" s="12"/>
      <c r="E2" s="13"/>
      <c r="F2" s="8" t="s">
        <v>4</v>
      </c>
      <c r="G2" s="9"/>
    </row>
    <row r="3">
      <c r="A3" s="6"/>
      <c r="B3" s="1" t="s">
        <v>5</v>
      </c>
      <c r="C3" s="2"/>
      <c r="D3" s="2"/>
      <c r="E3" s="3"/>
      <c r="F3" s="10" t="s">
        <v>6</v>
      </c>
      <c r="G3" s="10" t="s">
        <v>7</v>
      </c>
    </row>
    <row r="4">
      <c r="A4" s="11"/>
      <c r="B4" s="11"/>
      <c r="C4" s="12"/>
      <c r="D4" s="12"/>
      <c r="E4" s="13"/>
      <c r="F4" s="14">
        <v>42829.0</v>
      </c>
      <c r="G4" s="8">
        <v>1.0</v>
      </c>
    </row>
    <row r="7">
      <c r="C7" s="15" t="s">
        <v>27</v>
      </c>
    </row>
    <row r="8">
      <c r="A8" s="39" t="s">
        <v>28</v>
      </c>
      <c r="B8" s="39" t="s">
        <v>10</v>
      </c>
      <c r="C8" s="39" t="s">
        <v>11</v>
      </c>
      <c r="D8" s="39" t="s">
        <v>12</v>
      </c>
      <c r="E8" s="39" t="s">
        <v>13</v>
      </c>
    </row>
    <row r="9">
      <c r="A9" s="40">
        <v>24.0</v>
      </c>
      <c r="B9" s="40">
        <v>0.07</v>
      </c>
      <c r="C9" s="40">
        <f>A9-B9</f>
        <v>23.93</v>
      </c>
      <c r="D9" s="40">
        <f>A9+B9</f>
        <v>24.07</v>
      </c>
      <c r="E9" s="40" t="str">
        <f>IF(AND(C9&gt;23,D9&lt;25),"conforme","non conforme")</f>
        <v>conforme</v>
      </c>
    </row>
    <row r="12">
      <c r="B12" s="15" t="s">
        <v>29</v>
      </c>
    </row>
    <row r="14">
      <c r="A14" s="39" t="s">
        <v>28</v>
      </c>
      <c r="B14" s="39" t="s">
        <v>10</v>
      </c>
      <c r="C14" s="39" t="s">
        <v>11</v>
      </c>
      <c r="D14" s="39" t="s">
        <v>12</v>
      </c>
      <c r="E14" s="39" t="s">
        <v>13</v>
      </c>
    </row>
    <row r="15">
      <c r="A15" s="40">
        <v>24.1</v>
      </c>
      <c r="B15" s="40">
        <v>0.07</v>
      </c>
      <c r="C15" s="40">
        <f t="shared" ref="C15:C16" si="1">A15-B15</f>
        <v>24.03</v>
      </c>
      <c r="D15" s="40">
        <f t="shared" ref="D15:D16" si="2">A15+B15</f>
        <v>24.17</v>
      </c>
      <c r="E15" s="40" t="str">
        <f t="shared" ref="E15:E16" si="3">IF(AND(C15&gt;24,D15&lt;26),"conforme","non conforme")</f>
        <v>conforme</v>
      </c>
    </row>
    <row r="16">
      <c r="A16" s="40">
        <v>24.0</v>
      </c>
      <c r="B16" s="40">
        <v>0.07</v>
      </c>
      <c r="C16" s="40">
        <f t="shared" si="1"/>
        <v>23.93</v>
      </c>
      <c r="D16" s="40">
        <f t="shared" si="2"/>
        <v>24.07</v>
      </c>
      <c r="E16" s="40" t="str">
        <f t="shared" si="3"/>
        <v>non conforme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4"/>
    <mergeCell ref="B1:E2"/>
    <mergeCell ref="G1:G2"/>
    <mergeCell ref="B3:E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>
      <c r="A1" s="1" t="s">
        <v>0</v>
      </c>
      <c r="B1" s="1" t="s">
        <v>1</v>
      </c>
      <c r="C1" s="2"/>
      <c r="D1" s="2"/>
      <c r="E1" s="3"/>
      <c r="F1" s="4" t="s">
        <v>2</v>
      </c>
      <c r="G1" s="5" t="s">
        <v>3</v>
      </c>
    </row>
    <row r="2">
      <c r="A2" s="6"/>
      <c r="B2" s="11"/>
      <c r="C2" s="12"/>
      <c r="D2" s="12"/>
      <c r="E2" s="13"/>
      <c r="F2" s="8" t="s">
        <v>4</v>
      </c>
      <c r="G2" s="9"/>
    </row>
    <row r="3">
      <c r="A3" s="6"/>
      <c r="B3" s="1" t="s">
        <v>5</v>
      </c>
      <c r="C3" s="2"/>
      <c r="D3" s="2"/>
      <c r="E3" s="3"/>
      <c r="F3" s="10" t="s">
        <v>6</v>
      </c>
      <c r="G3" s="10" t="s">
        <v>7</v>
      </c>
    </row>
    <row r="4">
      <c r="A4" s="11"/>
      <c r="B4" s="11"/>
      <c r="C4" s="12"/>
      <c r="D4" s="12"/>
      <c r="E4" s="13"/>
      <c r="F4" s="14">
        <v>42829.0</v>
      </c>
      <c r="G4" s="8">
        <v>1.0</v>
      </c>
    </row>
    <row r="6">
      <c r="A6" s="20" t="s">
        <v>30</v>
      </c>
      <c r="B6" s="20" t="s">
        <v>10</v>
      </c>
      <c r="C6" s="20" t="s">
        <v>11</v>
      </c>
      <c r="D6" s="20" t="s">
        <v>12</v>
      </c>
      <c r="E6" s="20" t="s">
        <v>13</v>
      </c>
    </row>
    <row r="7">
      <c r="A7" s="15">
        <v>1003.0</v>
      </c>
      <c r="B7" s="15">
        <v>0.52</v>
      </c>
      <c r="C7" s="15">
        <f t="shared" ref="C7:C9" si="1">A7-B7</f>
        <v>1002.48</v>
      </c>
      <c r="D7" s="15">
        <f t="shared" ref="D7:D9" si="2">A7+B7</f>
        <v>1003.52</v>
      </c>
    </row>
    <row r="8">
      <c r="A8" s="15">
        <v>100.0</v>
      </c>
      <c r="B8" s="15">
        <v>0.42</v>
      </c>
      <c r="C8" s="15">
        <f t="shared" si="1"/>
        <v>99.58</v>
      </c>
      <c r="D8" s="15">
        <f t="shared" si="2"/>
        <v>100.42</v>
      </c>
    </row>
    <row r="9">
      <c r="A9" s="15">
        <v>100.3</v>
      </c>
      <c r="B9" s="15">
        <v>0.44</v>
      </c>
      <c r="C9" s="15">
        <f t="shared" si="1"/>
        <v>99.86</v>
      </c>
      <c r="D9" s="15">
        <f t="shared" si="2"/>
        <v>100.74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4"/>
    <mergeCell ref="B1:E2"/>
    <mergeCell ref="G1:G2"/>
    <mergeCell ref="B3:E4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>
      <c r="A1" s="1" t="s">
        <v>0</v>
      </c>
      <c r="B1" s="1" t="s">
        <v>1</v>
      </c>
      <c r="C1" s="2"/>
      <c r="D1" s="2"/>
      <c r="E1" s="3"/>
      <c r="F1" s="4" t="s">
        <v>2</v>
      </c>
      <c r="G1" s="5" t="s">
        <v>3</v>
      </c>
    </row>
    <row r="2">
      <c r="A2" s="6"/>
      <c r="B2" s="11"/>
      <c r="C2" s="12"/>
      <c r="D2" s="12"/>
      <c r="E2" s="13"/>
      <c r="F2" s="8" t="s">
        <v>4</v>
      </c>
      <c r="G2" s="9"/>
    </row>
    <row r="3">
      <c r="A3" s="6"/>
      <c r="B3" s="1" t="s">
        <v>5</v>
      </c>
      <c r="C3" s="2"/>
      <c r="D3" s="2"/>
      <c r="E3" s="3"/>
      <c r="F3" s="10" t="s">
        <v>6</v>
      </c>
      <c r="G3" s="10" t="s">
        <v>7</v>
      </c>
    </row>
    <row r="4">
      <c r="A4" s="11"/>
      <c r="B4" s="11"/>
      <c r="C4" s="12"/>
      <c r="D4" s="12"/>
      <c r="E4" s="13"/>
      <c r="F4" s="14">
        <v>42829.0</v>
      </c>
      <c r="G4" s="8">
        <v>1.0</v>
      </c>
    </row>
    <row r="7">
      <c r="A7" s="15" t="s">
        <v>30</v>
      </c>
      <c r="B7" s="15" t="s">
        <v>10</v>
      </c>
      <c r="C7" s="15" t="s">
        <v>11</v>
      </c>
      <c r="D7" s="15" t="s">
        <v>12</v>
      </c>
      <c r="E7" s="15" t="s">
        <v>13</v>
      </c>
    </row>
    <row r="8">
      <c r="A8" s="15">
        <v>45.3</v>
      </c>
      <c r="B8" s="15">
        <v>0.44</v>
      </c>
      <c r="C8" s="15">
        <f t="shared" ref="C8:C12" si="1">A8-B8</f>
        <v>44.86</v>
      </c>
      <c r="D8" s="15">
        <f t="shared" ref="D8:D12" si="2">A8+B8</f>
        <v>45.74</v>
      </c>
      <c r="E8" s="15" t="str">
        <f t="shared" ref="E8:E12" si="3">IF(AND(C8&gt;44,D8&lt;47),"conforme","non conforme")</f>
        <v>conforme</v>
      </c>
    </row>
    <row r="9">
      <c r="A9" s="15">
        <v>44.9</v>
      </c>
      <c r="B9" s="15">
        <v>0.39</v>
      </c>
      <c r="C9" s="15">
        <f t="shared" si="1"/>
        <v>44.51</v>
      </c>
      <c r="D9" s="15">
        <f t="shared" si="2"/>
        <v>45.29</v>
      </c>
      <c r="E9" s="15" t="str">
        <f t="shared" si="3"/>
        <v>conforme</v>
      </c>
    </row>
    <row r="10">
      <c r="A10" s="15">
        <v>45.1</v>
      </c>
      <c r="B10" s="15">
        <v>0.67</v>
      </c>
      <c r="C10" s="15">
        <f t="shared" si="1"/>
        <v>44.43</v>
      </c>
      <c r="D10" s="15">
        <f t="shared" si="2"/>
        <v>45.77</v>
      </c>
      <c r="E10" s="15" t="str">
        <f t="shared" si="3"/>
        <v>conforme</v>
      </c>
    </row>
    <row r="11">
      <c r="A11" s="15">
        <v>45.2</v>
      </c>
      <c r="B11" s="15">
        <v>0.62</v>
      </c>
      <c r="C11" s="15">
        <f t="shared" si="1"/>
        <v>44.58</v>
      </c>
      <c r="D11" s="15">
        <f t="shared" si="2"/>
        <v>45.82</v>
      </c>
      <c r="E11" s="15" t="str">
        <f t="shared" si="3"/>
        <v>conforme</v>
      </c>
    </row>
    <row r="12">
      <c r="A12" s="15">
        <v>45.2</v>
      </c>
      <c r="B12" s="15">
        <v>0.92</v>
      </c>
      <c r="C12" s="15">
        <f t="shared" si="1"/>
        <v>44.28</v>
      </c>
      <c r="D12" s="15">
        <f t="shared" si="2"/>
        <v>46.12</v>
      </c>
      <c r="E12" s="15" t="str">
        <f t="shared" si="3"/>
        <v>conforme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4"/>
    <mergeCell ref="B1:E2"/>
    <mergeCell ref="G1:G2"/>
    <mergeCell ref="B3:E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43"/>
    <col customWidth="1" min="5" max="5" width="14.29"/>
    <col customWidth="1" min="6" max="26" width="11.43"/>
  </cols>
  <sheetData>
    <row r="1">
      <c r="A1" s="1" t="s">
        <v>0</v>
      </c>
      <c r="B1" s="1" t="s">
        <v>1</v>
      </c>
      <c r="C1" s="2"/>
      <c r="D1" s="2"/>
      <c r="E1" s="3"/>
      <c r="F1" s="4" t="s">
        <v>2</v>
      </c>
      <c r="G1" s="5" t="s">
        <v>3</v>
      </c>
    </row>
    <row r="2">
      <c r="A2" s="6"/>
      <c r="B2" s="11"/>
      <c r="C2" s="12"/>
      <c r="D2" s="12"/>
      <c r="E2" s="13"/>
      <c r="F2" s="8" t="s">
        <v>4</v>
      </c>
      <c r="G2" s="9"/>
    </row>
    <row r="3">
      <c r="A3" s="6"/>
      <c r="B3" s="1" t="s">
        <v>5</v>
      </c>
      <c r="C3" s="2"/>
      <c r="D3" s="2"/>
      <c r="E3" s="3"/>
      <c r="F3" s="10" t="s">
        <v>6</v>
      </c>
      <c r="G3" s="10" t="s">
        <v>7</v>
      </c>
    </row>
    <row r="4">
      <c r="A4" s="11"/>
      <c r="B4" s="11"/>
      <c r="C4" s="12"/>
      <c r="D4" s="12"/>
      <c r="E4" s="13"/>
      <c r="F4" s="14">
        <v>42829.0</v>
      </c>
      <c r="G4" s="8">
        <v>1.0</v>
      </c>
    </row>
    <row r="7">
      <c r="A7" s="20" t="s">
        <v>28</v>
      </c>
      <c r="B7" s="20" t="s">
        <v>10</v>
      </c>
      <c r="C7" s="20" t="s">
        <v>11</v>
      </c>
      <c r="D7" s="20" t="s">
        <v>12</v>
      </c>
      <c r="E7" s="20" t="s">
        <v>13</v>
      </c>
    </row>
    <row r="8">
      <c r="A8" s="21">
        <v>173.3</v>
      </c>
      <c r="B8" s="21">
        <v>0.5</v>
      </c>
      <c r="C8" s="21">
        <f t="shared" ref="C8:C16" si="1">A8-B8</f>
        <v>172.8</v>
      </c>
      <c r="D8" s="21">
        <f t="shared" ref="D8:D16" si="2">A8+B8</f>
        <v>173.8</v>
      </c>
      <c r="E8" s="21" t="str">
        <f t="shared" ref="E8:E16" si="3">IF(AND(C8&gt;170,D8&lt;180),"conforme","non conforme")</f>
        <v>conforme</v>
      </c>
    </row>
    <row r="9">
      <c r="A9" s="21">
        <v>175.2</v>
      </c>
      <c r="B9" s="21">
        <v>0.53</v>
      </c>
      <c r="C9" s="21">
        <f t="shared" si="1"/>
        <v>174.67</v>
      </c>
      <c r="D9" s="21">
        <f t="shared" si="2"/>
        <v>175.73</v>
      </c>
      <c r="E9" s="21" t="str">
        <f t="shared" si="3"/>
        <v>conforme</v>
      </c>
    </row>
    <row r="10">
      <c r="A10" s="21">
        <v>176.6</v>
      </c>
      <c r="B10" s="21">
        <v>0.48</v>
      </c>
      <c r="C10" s="21">
        <f t="shared" si="1"/>
        <v>176.12</v>
      </c>
      <c r="D10" s="21">
        <f t="shared" si="2"/>
        <v>177.08</v>
      </c>
      <c r="E10" s="21" t="str">
        <f t="shared" si="3"/>
        <v>conforme</v>
      </c>
    </row>
    <row r="11">
      <c r="A11" s="21">
        <v>172.7</v>
      </c>
      <c r="B11" s="21">
        <v>0.56</v>
      </c>
      <c r="C11" s="21">
        <f t="shared" si="1"/>
        <v>172.14</v>
      </c>
      <c r="D11" s="21">
        <f t="shared" si="2"/>
        <v>173.26</v>
      </c>
      <c r="E11" s="21" t="str">
        <f t="shared" si="3"/>
        <v>conforme</v>
      </c>
    </row>
    <row r="12">
      <c r="A12" s="21">
        <v>173.9</v>
      </c>
      <c r="B12" s="21">
        <v>0.48</v>
      </c>
      <c r="C12" s="21">
        <f t="shared" si="1"/>
        <v>173.42</v>
      </c>
      <c r="D12" s="21">
        <f t="shared" si="2"/>
        <v>174.38</v>
      </c>
      <c r="E12" s="21" t="str">
        <f t="shared" si="3"/>
        <v>conforme</v>
      </c>
    </row>
    <row r="13">
      <c r="A13" s="21">
        <v>174.6</v>
      </c>
      <c r="B13" s="21">
        <v>0.51</v>
      </c>
      <c r="C13" s="21">
        <f t="shared" si="1"/>
        <v>174.09</v>
      </c>
      <c r="D13" s="21">
        <f t="shared" si="2"/>
        <v>175.11</v>
      </c>
      <c r="E13" s="21" t="str">
        <f t="shared" si="3"/>
        <v>conforme</v>
      </c>
    </row>
    <row r="14">
      <c r="A14" s="21">
        <v>176.2</v>
      </c>
      <c r="B14" s="21">
        <v>0.51</v>
      </c>
      <c r="C14" s="21">
        <f t="shared" si="1"/>
        <v>175.69</v>
      </c>
      <c r="D14" s="21">
        <f t="shared" si="2"/>
        <v>176.71</v>
      </c>
      <c r="E14" s="21" t="str">
        <f t="shared" si="3"/>
        <v>conforme</v>
      </c>
    </row>
    <row r="15">
      <c r="A15" s="21">
        <v>177.5</v>
      </c>
      <c r="B15" s="21">
        <v>0.82</v>
      </c>
      <c r="C15" s="21">
        <f t="shared" si="1"/>
        <v>176.68</v>
      </c>
      <c r="D15" s="21">
        <f t="shared" si="2"/>
        <v>178.32</v>
      </c>
      <c r="E15" s="21" t="str">
        <f t="shared" si="3"/>
        <v>conforme</v>
      </c>
    </row>
    <row r="16">
      <c r="A16" s="21">
        <v>178.2</v>
      </c>
      <c r="B16" s="21">
        <v>0.66</v>
      </c>
      <c r="C16" s="21">
        <f t="shared" si="1"/>
        <v>177.54</v>
      </c>
      <c r="D16" s="21">
        <f t="shared" si="2"/>
        <v>178.86</v>
      </c>
      <c r="E16" s="21" t="str">
        <f t="shared" si="3"/>
        <v>conforme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4"/>
    <mergeCell ref="B1:E2"/>
    <mergeCell ref="G1:G2"/>
    <mergeCell ref="B3:E4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6">
      <c r="D6" s="15" t="s">
        <v>9</v>
      </c>
      <c r="E6" s="15" t="s">
        <v>31</v>
      </c>
    </row>
    <row r="7">
      <c r="D7" s="15">
        <v>20.1</v>
      </c>
      <c r="E7" s="15">
        <v>0.2</v>
      </c>
    </row>
    <row r="8">
      <c r="D8" s="15">
        <v>40.1</v>
      </c>
      <c r="E8" s="15">
        <v>-0.3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