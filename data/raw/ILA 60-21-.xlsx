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 filterPrivacy="1" defaultThemeVersion="124226"/>
  <xr:revisionPtr revIDLastSave="0" documentId="8_{4A4C837B-37C9-4532-98F7-D80062710DBB}" xr6:coauthVersionLast="47" xr6:coauthVersionMax="47" xr10:uidLastSave="{00000000-0000-0000-0000-000000000000}"/>
  <bookViews>
    <workbookView xWindow="-120" yWindow="-120" windowWidth="24240" windowHeight="13020" firstSheet="2" activeTab="2" xr2:uid="{00000000-000D-0000-FFFF-FFFF00000000}"/>
  </bookViews>
  <sheets>
    <sheet name="lab 47b" sheetId="1" r:id="rId1"/>
    <sheet name="lab 47a" sheetId="2" r:id="rId2"/>
    <sheet name="lab 19B" sheetId="3" r:id="rId3"/>
    <sheet name="lab 19A" sheetId="5" r:id="rId4"/>
    <sheet name="lab 145" sheetId="6" r:id="rId5"/>
    <sheet name="lab 62" sheetId="7" r:id="rId6"/>
    <sheet name="lab 82" sheetId="8" r:id="rId7"/>
    <sheet name="lab 83" sheetId="9" r:id="rId8"/>
    <sheet name="lab 83A cong" sheetId="16" r:id="rId9"/>
    <sheet name="lab 08A" sheetId="10" r:id="rId10"/>
    <sheet name="lab 08B" sheetId="11" r:id="rId11"/>
    <sheet name="lab 03B" sheetId="12" r:id="rId12"/>
    <sheet name="LAB 11B" sheetId="13" r:id="rId13"/>
    <sheet name="lab 20B" sheetId="14" r:id="rId14"/>
    <sheet name="lab 84" sheetId="15" r:id="rId15"/>
    <sheet name="lab 19C" sheetId="17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7" l="1"/>
  <c r="D14" i="17"/>
  <c r="F14" i="17" s="1"/>
  <c r="E13" i="17"/>
  <c r="D13" i="17"/>
  <c r="F13" i="17" s="1"/>
  <c r="E12" i="17"/>
  <c r="D12" i="17"/>
  <c r="F12" i="17" s="1"/>
  <c r="E11" i="17"/>
  <c r="D11" i="17"/>
  <c r="F11" i="17" s="1"/>
  <c r="E10" i="17"/>
  <c r="D10" i="17"/>
  <c r="F10" i="17" s="1"/>
  <c r="E9" i="17"/>
  <c r="D9" i="17"/>
  <c r="F9" i="17" s="1"/>
  <c r="E8" i="17"/>
  <c r="D8" i="17"/>
  <c r="F8" i="17" s="1"/>
  <c r="E7" i="17"/>
  <c r="D7" i="17"/>
  <c r="F7" i="17" s="1"/>
  <c r="E6" i="17"/>
  <c r="D6" i="17"/>
  <c r="F6" i="17" s="1"/>
  <c r="D6" i="7" l="1"/>
  <c r="H15" i="16" l="1"/>
  <c r="F15" i="16"/>
  <c r="E15" i="16"/>
  <c r="G15" i="16" s="1"/>
  <c r="H14" i="16"/>
  <c r="F14" i="16"/>
  <c r="E14" i="16"/>
  <c r="G14" i="16" s="1"/>
  <c r="H13" i="16"/>
  <c r="F13" i="16"/>
  <c r="E13" i="16"/>
  <c r="H12" i="16"/>
  <c r="F12" i="16"/>
  <c r="E12" i="16"/>
  <c r="G12" i="16" s="1"/>
  <c r="H11" i="16"/>
  <c r="F11" i="16"/>
  <c r="E11" i="16"/>
  <c r="H10" i="16"/>
  <c r="F10" i="16"/>
  <c r="E10" i="16"/>
  <c r="H9" i="16"/>
  <c r="F9" i="16"/>
  <c r="E9" i="16"/>
  <c r="H8" i="16"/>
  <c r="F8" i="16"/>
  <c r="E8" i="16"/>
  <c r="H7" i="16"/>
  <c r="F7" i="16"/>
  <c r="E7" i="16"/>
  <c r="G11" i="16" l="1"/>
  <c r="G9" i="16"/>
  <c r="G13" i="16"/>
  <c r="G10" i="16"/>
  <c r="G8" i="16"/>
  <c r="G7" i="16"/>
  <c r="D9" i="15" l="1"/>
  <c r="D10" i="15"/>
  <c r="D11" i="15"/>
  <c r="D12" i="15"/>
  <c r="D13" i="15"/>
  <c r="D14" i="15"/>
  <c r="D15" i="15"/>
  <c r="D16" i="15"/>
  <c r="C9" i="15"/>
  <c r="E9" i="15" s="1"/>
  <c r="C10" i="15"/>
  <c r="E10" i="15" s="1"/>
  <c r="C11" i="15"/>
  <c r="E11" i="15" s="1"/>
  <c r="C12" i="15"/>
  <c r="E12" i="15" s="1"/>
  <c r="C13" i="15"/>
  <c r="E13" i="15" s="1"/>
  <c r="C14" i="15"/>
  <c r="E14" i="15" s="1"/>
  <c r="C15" i="15"/>
  <c r="E15" i="15" s="1"/>
  <c r="C16" i="15"/>
  <c r="E16" i="15" s="1"/>
  <c r="D8" i="15"/>
  <c r="C8" i="15"/>
  <c r="D9" i="14"/>
  <c r="D10" i="14"/>
  <c r="D11" i="14"/>
  <c r="D12" i="14"/>
  <c r="C9" i="14"/>
  <c r="E9" i="14" s="1"/>
  <c r="C10" i="14"/>
  <c r="E10" i="14" s="1"/>
  <c r="C11" i="14"/>
  <c r="E11" i="14" s="1"/>
  <c r="C12" i="14"/>
  <c r="E12" i="14" s="1"/>
  <c r="D8" i="14"/>
  <c r="C8" i="14"/>
  <c r="D8" i="13"/>
  <c r="D9" i="13"/>
  <c r="C8" i="13"/>
  <c r="C9" i="13"/>
  <c r="D7" i="13"/>
  <c r="C7" i="13"/>
  <c r="D16" i="12"/>
  <c r="C16" i="12"/>
  <c r="D15" i="12"/>
  <c r="C15" i="12"/>
  <c r="E15" i="12" s="1"/>
  <c r="D9" i="12"/>
  <c r="C9" i="12"/>
  <c r="E9" i="12" s="1"/>
  <c r="E8" i="14" l="1"/>
  <c r="E16" i="12"/>
  <c r="E8" i="15"/>
  <c r="E8" i="11"/>
  <c r="F8" i="11"/>
  <c r="E9" i="11"/>
  <c r="F9" i="11"/>
  <c r="G9" i="11" s="1"/>
  <c r="E10" i="11"/>
  <c r="F10" i="11"/>
  <c r="G10" i="11" l="1"/>
  <c r="G8" i="11"/>
  <c r="E7" i="9"/>
  <c r="F8" i="9" l="1"/>
  <c r="F9" i="9"/>
  <c r="F10" i="9"/>
  <c r="F11" i="9"/>
  <c r="F12" i="9"/>
  <c r="F13" i="9"/>
  <c r="F14" i="9"/>
  <c r="F15" i="9"/>
  <c r="F7" i="9"/>
  <c r="G7" i="9" s="1"/>
  <c r="E8" i="9"/>
  <c r="E9" i="9"/>
  <c r="E10" i="9"/>
  <c r="E11" i="9"/>
  <c r="E12" i="9"/>
  <c r="E13" i="9"/>
  <c r="E14" i="9"/>
  <c r="E15" i="9"/>
  <c r="G8" i="9" l="1"/>
  <c r="G14" i="9"/>
  <c r="G12" i="9"/>
  <c r="G9" i="9"/>
  <c r="G10" i="9"/>
  <c r="G15" i="9"/>
  <c r="G13" i="9"/>
  <c r="G11" i="9"/>
  <c r="F9" i="10" l="1"/>
  <c r="F10" i="10"/>
  <c r="F8" i="10"/>
  <c r="E9" i="10"/>
  <c r="E10" i="10"/>
  <c r="E8" i="10"/>
  <c r="D14" i="8"/>
  <c r="D13" i="8"/>
  <c r="D11" i="8"/>
  <c r="D9" i="8"/>
  <c r="D7" i="8"/>
  <c r="D15" i="8"/>
  <c r="D12" i="8"/>
  <c r="D10" i="8"/>
  <c r="D8" i="8"/>
  <c r="G8" i="10" l="1"/>
  <c r="G9" i="10"/>
  <c r="G10" i="10"/>
  <c r="E15" i="8"/>
  <c r="F15" i="8" s="1"/>
  <c r="E14" i="8"/>
  <c r="F14" i="8" s="1"/>
  <c r="E13" i="8"/>
  <c r="F13" i="8" s="1"/>
  <c r="E12" i="8"/>
  <c r="F12" i="8" s="1"/>
  <c r="E11" i="8"/>
  <c r="F11" i="8" s="1"/>
  <c r="E10" i="8"/>
  <c r="F10" i="8" s="1"/>
  <c r="E9" i="8"/>
  <c r="F9" i="8" s="1"/>
  <c r="E8" i="8"/>
  <c r="F8" i="8" s="1"/>
  <c r="E7" i="8"/>
  <c r="F7" i="8" s="1"/>
  <c r="E14" i="7"/>
  <c r="D14" i="7"/>
  <c r="E13" i="7"/>
  <c r="D13" i="7"/>
  <c r="F13" i="7" s="1"/>
  <c r="E12" i="7"/>
  <c r="D12" i="7"/>
  <c r="E11" i="7"/>
  <c r="D11" i="7"/>
  <c r="E10" i="7"/>
  <c r="D10" i="7"/>
  <c r="E9" i="7"/>
  <c r="D9" i="7"/>
  <c r="F9" i="7" s="1"/>
  <c r="E8" i="7"/>
  <c r="D8" i="7"/>
  <c r="E7" i="7"/>
  <c r="D7" i="7"/>
  <c r="E6" i="7"/>
  <c r="E14" i="6"/>
  <c r="D14" i="6"/>
  <c r="E13" i="6"/>
  <c r="D13" i="6"/>
  <c r="E12" i="6"/>
  <c r="D12" i="6"/>
  <c r="E11" i="6"/>
  <c r="D11" i="6"/>
  <c r="E10" i="6"/>
  <c r="D10" i="6"/>
  <c r="E9" i="6"/>
  <c r="D9" i="6"/>
  <c r="E8" i="6"/>
  <c r="D8" i="6"/>
  <c r="E7" i="6"/>
  <c r="D7" i="6"/>
  <c r="E6" i="6"/>
  <c r="D6" i="6"/>
  <c r="E16" i="5"/>
  <c r="D16" i="5"/>
  <c r="E15" i="5"/>
  <c r="D15" i="5"/>
  <c r="E14" i="5"/>
  <c r="D14" i="5"/>
  <c r="E13" i="5"/>
  <c r="D13" i="5"/>
  <c r="E12" i="5"/>
  <c r="D12" i="5"/>
  <c r="E11" i="5"/>
  <c r="D11" i="5"/>
  <c r="E10" i="5"/>
  <c r="D10" i="5"/>
  <c r="E9" i="5"/>
  <c r="D9" i="5"/>
  <c r="F9" i="5" s="1"/>
  <c r="E8" i="5"/>
  <c r="D8" i="5"/>
  <c r="E7" i="3"/>
  <c r="E8" i="3"/>
  <c r="E9" i="3"/>
  <c r="E10" i="3"/>
  <c r="E11" i="3"/>
  <c r="E12" i="3"/>
  <c r="E13" i="3"/>
  <c r="E14" i="3"/>
  <c r="D7" i="3"/>
  <c r="F7" i="3" s="1"/>
  <c r="D8" i="3"/>
  <c r="F8" i="3" s="1"/>
  <c r="D9" i="3"/>
  <c r="F9" i="3" s="1"/>
  <c r="D10" i="3"/>
  <c r="F10" i="3" s="1"/>
  <c r="D11" i="3"/>
  <c r="F11" i="3" s="1"/>
  <c r="D12" i="3"/>
  <c r="F12" i="3" s="1"/>
  <c r="D13" i="3"/>
  <c r="F13" i="3" s="1"/>
  <c r="D14" i="3"/>
  <c r="F14" i="3" s="1"/>
  <c r="E6" i="3"/>
  <c r="D6" i="3"/>
  <c r="F6" i="3" s="1"/>
  <c r="F14" i="7" l="1"/>
  <c r="F11" i="7"/>
  <c r="F9" i="6"/>
  <c r="F14" i="6"/>
  <c r="F13" i="6"/>
  <c r="F13" i="5"/>
  <c r="F11" i="6"/>
  <c r="F6" i="6"/>
  <c r="F10" i="7"/>
  <c r="F8" i="7"/>
  <c r="F8" i="5"/>
  <c r="F12" i="7"/>
  <c r="F7" i="7"/>
  <c r="F6" i="7"/>
  <c r="F8" i="6"/>
  <c r="F7" i="6"/>
  <c r="F12" i="6"/>
  <c r="F10" i="6"/>
  <c r="F16" i="5"/>
  <c r="F15" i="5"/>
  <c r="F14" i="5"/>
  <c r="F12" i="5"/>
  <c r="F11" i="5"/>
  <c r="F10" i="5"/>
  <c r="E18" i="2"/>
  <c r="D18" i="2"/>
  <c r="E17" i="2"/>
  <c r="D17" i="2"/>
  <c r="E16" i="2"/>
  <c r="D16" i="2"/>
  <c r="E15" i="2"/>
  <c r="D15" i="2"/>
  <c r="E14" i="2"/>
  <c r="D14" i="2"/>
  <c r="F14" i="2" s="1"/>
  <c r="E13" i="2"/>
  <c r="D13" i="2"/>
  <c r="E12" i="2"/>
  <c r="D12" i="2"/>
  <c r="E11" i="2"/>
  <c r="D11" i="2"/>
  <c r="E10" i="2"/>
  <c r="D10" i="2"/>
  <c r="E9" i="2"/>
  <c r="D9" i="2"/>
  <c r="E9" i="1"/>
  <c r="E10" i="1"/>
  <c r="E11" i="1"/>
  <c r="E12" i="1"/>
  <c r="E13" i="1"/>
  <c r="E14" i="1"/>
  <c r="E15" i="1"/>
  <c r="E16" i="1"/>
  <c r="E17" i="1"/>
  <c r="E8" i="1"/>
  <c r="D17" i="1"/>
  <c r="F17" i="1" s="1"/>
  <c r="D10" i="1"/>
  <c r="F10" i="1" s="1"/>
  <c r="D11" i="1"/>
  <c r="F11" i="1" s="1"/>
  <c r="D12" i="1"/>
  <c r="D13" i="1"/>
  <c r="F13" i="1" s="1"/>
  <c r="D14" i="1"/>
  <c r="F14" i="1" s="1"/>
  <c r="D15" i="1"/>
  <c r="F15" i="1" s="1"/>
  <c r="D16" i="1"/>
  <c r="D9" i="1"/>
  <c r="F9" i="1" s="1"/>
  <c r="D8" i="1"/>
  <c r="F8" i="1" s="1"/>
  <c r="F16" i="1" l="1"/>
  <c r="F12" i="1"/>
  <c r="F15" i="2"/>
  <c r="F17" i="2"/>
  <c r="F11" i="2"/>
  <c r="F18" i="2"/>
  <c r="F16" i="2"/>
  <c r="F13" i="2"/>
  <c r="F12" i="2"/>
  <c r="F10" i="2"/>
  <c r="F9" i="2"/>
</calcChain>
</file>

<file path=xl/sharedStrings.xml><?xml version="1.0" encoding="utf-8"?>
<sst xmlns="http://schemas.openxmlformats.org/spreadsheetml/2006/main" count="242" uniqueCount="31">
  <si>
    <t>UNPA</t>
  </si>
  <si>
    <t>Manuel des instructions</t>
  </si>
  <si>
    <t>Document</t>
  </si>
  <si>
    <t>Page 1 sur 1</t>
  </si>
  <si>
    <t>ILA 60</t>
  </si>
  <si>
    <t>Analyse des résultats d’étalonnage et/ou de vérification</t>
  </si>
  <si>
    <t>Date</t>
  </si>
  <si>
    <t>Edition</t>
  </si>
  <si>
    <t>N° cellule</t>
  </si>
  <si>
    <t>T° ref</t>
  </si>
  <si>
    <t>incertitude</t>
  </si>
  <si>
    <t>min</t>
  </si>
  <si>
    <t>max</t>
  </si>
  <si>
    <t>conformité</t>
  </si>
  <si>
    <t>point</t>
  </si>
  <si>
    <t>confotmité</t>
  </si>
  <si>
    <t xml:space="preserve"> </t>
  </si>
  <si>
    <t>conforme</t>
  </si>
  <si>
    <t xml:space="preserve">consigne </t>
  </si>
  <si>
    <t>conformité sans tenir compte de l'incertitude</t>
  </si>
  <si>
    <t xml:space="preserve">indication </t>
  </si>
  <si>
    <t>T° lue</t>
  </si>
  <si>
    <t>au fond</t>
  </si>
  <si>
    <t>milieu</t>
  </si>
  <si>
    <t>en avant</t>
  </si>
  <si>
    <t>lab 08A</t>
  </si>
  <si>
    <t>lab 08B</t>
  </si>
  <si>
    <t>PETRIN</t>
  </si>
  <si>
    <t>Tlue</t>
  </si>
  <si>
    <t>chambre de fermentation</t>
  </si>
  <si>
    <t>T 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</si>
</sst>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6" fontId="0" fillId="0" borderId="0" xfId="0" applyNumberFormat="1"/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14" fontId="4" fillId="0" borderId="13" xfId="0" applyNumberFormat="1" applyFont="1" applyBorder="1" applyAlignment="1">
      <alignment horizontal="center" vertical="center" wrapText="1"/>
    </xf>
    <xf numFmtId="0" fontId="5" fillId="0" borderId="0" xfId="0" applyFont="1"/>
    <xf numFmtId="0" fontId="2" fillId="3" borderId="0" xfId="0" applyFont="1" applyFill="1"/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0" fillId="3" borderId="0" xfId="0" applyFill="1"/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9" xfId="0" applyFont="1" applyBorder="1"/>
    <xf numFmtId="0" fontId="0" fillId="0" borderId="19" xfId="0" applyBorder="1"/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428625</xdr:colOff>
      <xdr:row>17</xdr:row>
      <xdr:rowOff>180975</xdr:rowOff>
    </xdr:from>
    <xdr:to>
      <xdr:col>6</xdr:col>
      <xdr:colOff>590550</xdr:colOff>
      <xdr:row>29</xdr:row>
      <xdr:rowOff>133350</xdr:rowOff>
    </xdr:to>
    <xdr:sp macro="" textlink="">
      <xdr:nvSpPr>
        <xdr:cNvPr id="2" name="Cub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714625" y="2657475"/>
          <a:ext cx="2447925" cy="2238375"/>
        </a:xfrm>
        <a:prstGeom prst="cub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428625</xdr:colOff>
      <xdr:row>17</xdr:row>
      <xdr:rowOff>180975</xdr:rowOff>
    </xdr:from>
    <xdr:to>
      <xdr:col>6</xdr:col>
      <xdr:colOff>590550</xdr:colOff>
      <xdr:row>29</xdr:row>
      <xdr:rowOff>133350</xdr:rowOff>
    </xdr:to>
    <xdr:sp macro="" textlink="">
      <xdr:nvSpPr>
        <xdr:cNvPr id="2" name="Cub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2714625" y="2657475"/>
          <a:ext cx="2457450" cy="2238375"/>
        </a:xfrm>
        <a:prstGeom prst="cub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428625</xdr:colOff>
      <xdr:row>17</xdr:row>
      <xdr:rowOff>180975</xdr:rowOff>
    </xdr:from>
    <xdr:to>
      <xdr:col>6</xdr:col>
      <xdr:colOff>590550</xdr:colOff>
      <xdr:row>29</xdr:row>
      <xdr:rowOff>133350</xdr:rowOff>
    </xdr:to>
    <xdr:sp macro="" textlink="">
      <xdr:nvSpPr>
        <xdr:cNvPr id="2" name="Cub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2714625" y="2657475"/>
          <a:ext cx="2457450" cy="2238375"/>
        </a:xfrm>
        <a:prstGeom prst="cub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428625</xdr:colOff>
      <xdr:row>17</xdr:row>
      <xdr:rowOff>180975</xdr:rowOff>
    </xdr:from>
    <xdr:to>
      <xdr:col>6</xdr:col>
      <xdr:colOff>590550</xdr:colOff>
      <xdr:row>29</xdr:row>
      <xdr:rowOff>133350</xdr:rowOff>
    </xdr:to>
    <xdr:sp macro="" textlink="">
      <xdr:nvSpPr>
        <xdr:cNvPr id="2" name="Cub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2714625" y="3486150"/>
          <a:ext cx="2457450" cy="2238375"/>
        </a:xfrm>
        <a:prstGeom prst="cub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428625</xdr:colOff>
      <xdr:row>18</xdr:row>
      <xdr:rowOff>180975</xdr:rowOff>
    </xdr:from>
    <xdr:to>
      <xdr:col>6</xdr:col>
      <xdr:colOff>590550</xdr:colOff>
      <xdr:row>30</xdr:row>
      <xdr:rowOff>133350</xdr:rowOff>
    </xdr:to>
    <xdr:sp macro="" textlink="">
      <xdr:nvSpPr>
        <xdr:cNvPr id="2" name="Cub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714625" y="2657475"/>
          <a:ext cx="2457450" cy="2238375"/>
        </a:xfrm>
        <a:prstGeom prst="cub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428625</xdr:colOff>
      <xdr:row>18</xdr:row>
      <xdr:rowOff>180975</xdr:rowOff>
    </xdr:from>
    <xdr:to>
      <xdr:col>7</xdr:col>
      <xdr:colOff>590550</xdr:colOff>
      <xdr:row>30</xdr:row>
      <xdr:rowOff>133350</xdr:rowOff>
    </xdr:to>
    <xdr:sp macro="" textlink="">
      <xdr:nvSpPr>
        <xdr:cNvPr id="2" name="Cub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714625" y="2657475"/>
          <a:ext cx="2457450" cy="2238375"/>
        </a:xfrm>
        <a:prstGeom prst="cub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1000125</xdr:colOff>
      <xdr:row>20</xdr:row>
      <xdr:rowOff>161925</xdr:rowOff>
    </xdr:from>
    <xdr:to>
      <xdr:col>7</xdr:col>
      <xdr:colOff>304800</xdr:colOff>
      <xdr:row>22</xdr:row>
      <xdr:rowOff>180975</xdr:rowOff>
    </xdr:to>
    <xdr:sp macro="" textlink="">
      <xdr:nvSpPr>
        <xdr:cNvPr id="3" name="Ellips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5572125" y="4029075"/>
          <a:ext cx="400050" cy="400050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247650</xdr:colOff>
      <xdr:row>21</xdr:row>
      <xdr:rowOff>0</xdr:rowOff>
    </xdr:from>
    <xdr:to>
      <xdr:col>4</xdr:col>
      <xdr:colOff>676275</xdr:colOff>
      <xdr:row>22</xdr:row>
      <xdr:rowOff>152400</xdr:rowOff>
    </xdr:to>
    <xdr:sp macro="" textlink="">
      <xdr:nvSpPr>
        <xdr:cNvPr id="4" name="Ellips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3295650" y="4057650"/>
          <a:ext cx="428625" cy="342900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323850</xdr:colOff>
      <xdr:row>17</xdr:row>
      <xdr:rowOff>171450</xdr:rowOff>
    </xdr:from>
    <xdr:to>
      <xdr:col>7</xdr:col>
      <xdr:colOff>723900</xdr:colOff>
      <xdr:row>20</xdr:row>
      <xdr:rowOff>0</xdr:rowOff>
    </xdr:to>
    <xdr:sp macro="" textlink="">
      <xdr:nvSpPr>
        <xdr:cNvPr id="5" name="Ellips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5991225" y="3467100"/>
          <a:ext cx="400050" cy="400050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428625</xdr:colOff>
      <xdr:row>18</xdr:row>
      <xdr:rowOff>180975</xdr:rowOff>
    </xdr:from>
    <xdr:to>
      <xdr:col>7</xdr:col>
      <xdr:colOff>590550</xdr:colOff>
      <xdr:row>30</xdr:row>
      <xdr:rowOff>133350</xdr:rowOff>
    </xdr:to>
    <xdr:sp macro="" textlink="">
      <xdr:nvSpPr>
        <xdr:cNvPr id="2" name="Cub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476625" y="3667125"/>
          <a:ext cx="2781300" cy="2238375"/>
        </a:xfrm>
        <a:prstGeom prst="cub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742950</xdr:colOff>
      <xdr:row>14</xdr:row>
      <xdr:rowOff>9525</xdr:rowOff>
    </xdr:from>
    <xdr:to>
      <xdr:col>4</xdr:col>
      <xdr:colOff>476250</xdr:colOff>
      <xdr:row>25</xdr:row>
      <xdr:rowOff>152400</xdr:rowOff>
    </xdr:to>
    <xdr:sp macro="" textlink="">
      <xdr:nvSpPr>
        <xdr:cNvPr id="2" name="Cub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742950" y="2733675"/>
          <a:ext cx="2781300" cy="2238375"/>
        </a:xfrm>
        <a:prstGeom prst="cub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704850</xdr:colOff>
      <xdr:row>13</xdr:row>
      <xdr:rowOff>66675</xdr:rowOff>
    </xdr:from>
    <xdr:to>
      <xdr:col>4</xdr:col>
      <xdr:colOff>438150</xdr:colOff>
      <xdr:row>25</xdr:row>
      <xdr:rowOff>19050</xdr:rowOff>
    </xdr:to>
    <xdr:sp macro="" textlink="">
      <xdr:nvSpPr>
        <xdr:cNvPr id="2" name="Cub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704850" y="2600325"/>
          <a:ext cx="2781300" cy="2238375"/>
        </a:xfrm>
        <a:prstGeom prst="cub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428625</xdr:colOff>
      <xdr:row>17</xdr:row>
      <xdr:rowOff>180975</xdr:rowOff>
    </xdr:from>
    <xdr:to>
      <xdr:col>6</xdr:col>
      <xdr:colOff>590550</xdr:colOff>
      <xdr:row>29</xdr:row>
      <xdr:rowOff>133350</xdr:rowOff>
    </xdr:to>
    <xdr:sp macro="" textlink="">
      <xdr:nvSpPr>
        <xdr:cNvPr id="2" name="Cub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2714625" y="3486150"/>
          <a:ext cx="2457450" cy="2238375"/>
        </a:xfrm>
        <a:prstGeom prst="cub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G17"/>
  <sheetViews>
    <sheetView workbookViewId="0">
      <selection activeCell="M30" sqref="M30"/>
    </sheetView>
  </sheetViews>
  <sheetFormatPr defaultColWidth="9.140625" defaultRowHeight="15"/>
  <cols>
    <col min="3" max="3" width="10.85546875" bestFit="1" customWidth="1"/>
    <col min="5" max="5" width="18.5703125" customWidth="1"/>
    <col min="6" max="6" width="18.42578125" customWidth="1"/>
    <col min="7" max="7" width="14" customWidth="1"/>
  </cols>
  <sheetData>
    <row r="1" spans="1:7" ht="24.75" customHeight="1">
      <c r="A1" s="30" t="s">
        <v>0</v>
      </c>
      <c r="B1" s="35" t="s">
        <v>1</v>
      </c>
      <c r="C1" s="36"/>
      <c r="D1" s="36"/>
      <c r="E1" s="37"/>
      <c r="F1" s="8" t="s">
        <v>2</v>
      </c>
      <c r="G1" s="33" t="s">
        <v>3</v>
      </c>
    </row>
    <row r="2" spans="1:7" ht="16.5" thickBot="1">
      <c r="A2" s="31"/>
      <c r="B2" s="38"/>
      <c r="C2" s="39"/>
      <c r="D2" s="39"/>
      <c r="E2" s="40"/>
      <c r="F2" s="9" t="s">
        <v>4</v>
      </c>
      <c r="G2" s="34"/>
    </row>
    <row r="3" spans="1:7" ht="42.75" customHeight="1">
      <c r="A3" s="31"/>
      <c r="B3" s="35" t="s">
        <v>5</v>
      </c>
      <c r="C3" s="36"/>
      <c r="D3" s="36"/>
      <c r="E3" s="37"/>
      <c r="F3" s="10" t="s">
        <v>6</v>
      </c>
      <c r="G3" s="10" t="s">
        <v>7</v>
      </c>
    </row>
    <row r="4" spans="1:7" ht="21.75" customHeight="1" thickBot="1">
      <c r="A4" s="32"/>
      <c r="B4" s="41"/>
      <c r="C4" s="42"/>
      <c r="D4" s="42"/>
      <c r="E4" s="43"/>
      <c r="F4" s="11">
        <v>42829</v>
      </c>
      <c r="G4" s="9">
        <v>1</v>
      </c>
    </row>
    <row r="7" spans="1:7">
      <c r="A7" t="s">
        <v>8</v>
      </c>
      <c r="B7" t="s">
        <v>9</v>
      </c>
      <c r="C7" t="s">
        <v>10</v>
      </c>
      <c r="D7" t="s">
        <v>11</v>
      </c>
      <c r="E7" t="s">
        <v>12</v>
      </c>
    </row>
    <row r="8" spans="1:7">
      <c r="A8" s="21">
        <v>1</v>
      </c>
      <c r="B8" s="21">
        <v>133</v>
      </c>
      <c r="C8" s="21">
        <v>0.81</v>
      </c>
      <c r="D8" s="21">
        <f>B8-C8</f>
        <v>132.19</v>
      </c>
      <c r="E8" s="21">
        <f>B8+C8</f>
        <v>133.81</v>
      </c>
      <c r="F8" s="21" t="str">
        <f>IF(AND(D8&gt;130,E8&lt;133),"conforme","non conforme")</f>
        <v>non conforme</v>
      </c>
    </row>
    <row r="9" spans="1:7">
      <c r="A9">
        <v>2</v>
      </c>
      <c r="B9">
        <v>131.80000000000001</v>
      </c>
      <c r="C9">
        <v>0.54</v>
      </c>
      <c r="D9">
        <f>B9-C9</f>
        <v>131.26000000000002</v>
      </c>
      <c r="E9">
        <f t="shared" ref="E9:E17" si="0">B9+C9</f>
        <v>132.34</v>
      </c>
      <c r="F9" t="str">
        <f t="shared" ref="F9:F17" si="1">IF(AND(D9&gt;130,E9&lt;133),"conforme","non conforme")</f>
        <v>conforme</v>
      </c>
    </row>
    <row r="10" spans="1:7">
      <c r="A10" s="17">
        <v>3</v>
      </c>
      <c r="B10" s="17">
        <v>132.6</v>
      </c>
      <c r="C10" s="17">
        <v>0.52</v>
      </c>
      <c r="D10" s="17">
        <f t="shared" ref="D10:D16" si="2">B10-C10</f>
        <v>132.07999999999998</v>
      </c>
      <c r="E10" s="17">
        <f t="shared" si="0"/>
        <v>133.12</v>
      </c>
      <c r="F10" s="21" t="str">
        <f t="shared" si="1"/>
        <v>non conforme</v>
      </c>
    </row>
    <row r="11" spans="1:7">
      <c r="A11" s="2">
        <v>4</v>
      </c>
      <c r="B11" s="2">
        <v>132</v>
      </c>
      <c r="C11" s="2">
        <v>0.56999999999999995</v>
      </c>
      <c r="D11" s="2">
        <f t="shared" si="2"/>
        <v>131.43</v>
      </c>
      <c r="E11" s="2">
        <f t="shared" si="0"/>
        <v>132.57</v>
      </c>
      <c r="F11" t="str">
        <f t="shared" si="1"/>
        <v>conforme</v>
      </c>
    </row>
    <row r="12" spans="1:7">
      <c r="A12" s="17">
        <v>5</v>
      </c>
      <c r="B12" s="17">
        <v>133.6</v>
      </c>
      <c r="C12" s="17">
        <v>0.88</v>
      </c>
      <c r="D12" s="17">
        <f t="shared" si="2"/>
        <v>132.72</v>
      </c>
      <c r="E12" s="17">
        <f t="shared" si="0"/>
        <v>134.47999999999999</v>
      </c>
      <c r="F12" s="21" t="str">
        <f t="shared" si="1"/>
        <v>non conforme</v>
      </c>
    </row>
    <row r="13" spans="1:7">
      <c r="A13" s="17">
        <v>6</v>
      </c>
      <c r="B13" s="17">
        <v>129.30000000000001</v>
      </c>
      <c r="C13" s="17">
        <v>0.43</v>
      </c>
      <c r="D13" s="17">
        <f t="shared" si="2"/>
        <v>128.87</v>
      </c>
      <c r="E13" s="17">
        <f t="shared" si="0"/>
        <v>129.73000000000002</v>
      </c>
      <c r="F13" s="21" t="str">
        <f t="shared" si="1"/>
        <v>non conforme</v>
      </c>
    </row>
    <row r="14" spans="1:7">
      <c r="A14" s="2">
        <v>7</v>
      </c>
      <c r="B14" s="2">
        <v>132.1</v>
      </c>
      <c r="C14" s="2">
        <v>0.51</v>
      </c>
      <c r="D14" s="2">
        <f t="shared" si="2"/>
        <v>131.59</v>
      </c>
      <c r="E14" s="2">
        <f t="shared" si="0"/>
        <v>132.60999999999999</v>
      </c>
      <c r="F14" t="str">
        <f t="shared" si="1"/>
        <v>conforme</v>
      </c>
    </row>
    <row r="15" spans="1:7">
      <c r="A15" s="2">
        <v>8</v>
      </c>
      <c r="B15" s="2">
        <v>131.19999999999999</v>
      </c>
      <c r="C15" s="2">
        <v>0.46</v>
      </c>
      <c r="D15" s="2">
        <f t="shared" si="2"/>
        <v>130.73999999999998</v>
      </c>
      <c r="E15" s="2">
        <f t="shared" si="0"/>
        <v>131.66</v>
      </c>
      <c r="F15" t="str">
        <f t="shared" si="1"/>
        <v>conforme</v>
      </c>
    </row>
    <row r="16" spans="1:7">
      <c r="A16" s="2">
        <v>9</v>
      </c>
      <c r="B16" s="2">
        <v>131.5</v>
      </c>
      <c r="C16" s="2">
        <v>0.49</v>
      </c>
      <c r="D16" s="2">
        <f t="shared" si="2"/>
        <v>131.01</v>
      </c>
      <c r="E16" s="2">
        <f t="shared" si="0"/>
        <v>131.99</v>
      </c>
      <c r="F16" t="str">
        <f t="shared" si="1"/>
        <v>conforme</v>
      </c>
    </row>
    <row r="17" spans="1:6">
      <c r="A17" s="2">
        <v>10</v>
      </c>
      <c r="B17" s="2">
        <v>131.9</v>
      </c>
      <c r="C17" s="2">
        <v>0.87</v>
      </c>
      <c r="D17" s="2">
        <f>B17-C17</f>
        <v>131.03</v>
      </c>
      <c r="E17" s="2">
        <f t="shared" si="0"/>
        <v>132.77000000000001</v>
      </c>
      <c r="F17" t="str">
        <f t="shared" si="1"/>
        <v>conforme</v>
      </c>
    </row>
  </sheetData>
  <mergeCells count="4">
    <mergeCell ref="A1:A4"/>
    <mergeCell ref="G1:G2"/>
    <mergeCell ref="B1:E2"/>
    <mergeCell ref="B3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G18"/>
  <sheetViews>
    <sheetView workbookViewId="0">
      <selection activeCell="K14" sqref="K14"/>
    </sheetView>
  </sheetViews>
  <sheetFormatPr defaultColWidth="11.42578125" defaultRowHeight="15"/>
  <cols>
    <col min="6" max="6" width="13.42578125" bestFit="1" customWidth="1"/>
  </cols>
  <sheetData>
    <row r="1" spans="1:7" ht="15.75">
      <c r="A1" s="30" t="s">
        <v>0</v>
      </c>
      <c r="B1" s="35" t="s">
        <v>1</v>
      </c>
      <c r="C1" s="36"/>
      <c r="D1" s="36"/>
      <c r="E1" s="37"/>
      <c r="F1" s="8" t="s">
        <v>2</v>
      </c>
      <c r="G1" s="33" t="s">
        <v>3</v>
      </c>
    </row>
    <row r="2" spans="1:7" ht="16.5" thickBot="1">
      <c r="A2" s="31"/>
      <c r="B2" s="41"/>
      <c r="C2" s="42"/>
      <c r="D2" s="42"/>
      <c r="E2" s="43"/>
      <c r="F2" s="9" t="s">
        <v>4</v>
      </c>
      <c r="G2" s="34"/>
    </row>
    <row r="3" spans="1:7" ht="15.75">
      <c r="A3" s="31"/>
      <c r="B3" s="38" t="s">
        <v>5</v>
      </c>
      <c r="C3" s="39"/>
      <c r="D3" s="39"/>
      <c r="E3" s="40"/>
      <c r="F3" s="10" t="s">
        <v>6</v>
      </c>
      <c r="G3" s="10" t="s">
        <v>7</v>
      </c>
    </row>
    <row r="4" spans="1:7" ht="16.5" thickBot="1">
      <c r="A4" s="32"/>
      <c r="B4" s="41"/>
      <c r="C4" s="42"/>
      <c r="D4" s="42"/>
      <c r="E4" s="43"/>
      <c r="F4" s="11">
        <v>42829</v>
      </c>
      <c r="G4" s="9">
        <v>1</v>
      </c>
    </row>
    <row r="8" spans="1:7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</row>
    <row r="9" spans="1:7">
      <c r="A9" s="17">
        <v>1</v>
      </c>
      <c r="B9" s="17">
        <v>133.19999999999999</v>
      </c>
      <c r="C9" s="17">
        <v>0.4</v>
      </c>
      <c r="D9" s="17">
        <f>B9-C9</f>
        <v>132.79999999999998</v>
      </c>
      <c r="E9" s="17">
        <f>B9+C9</f>
        <v>133.6</v>
      </c>
      <c r="F9" s="17" t="str">
        <f>IF(AND(D9&gt;130,E9&lt;133),"conforme","non conforme")</f>
        <v>non conforme</v>
      </c>
    </row>
    <row r="10" spans="1:7">
      <c r="A10" s="2">
        <v>2</v>
      </c>
      <c r="B10" s="2">
        <v>132.19999999999999</v>
      </c>
      <c r="C10" s="2">
        <v>0.41</v>
      </c>
      <c r="D10" s="2">
        <f>B10-C10</f>
        <v>131.79</v>
      </c>
      <c r="E10" s="2">
        <f t="shared" ref="E10:E18" si="0">B10+C10</f>
        <v>132.60999999999999</v>
      </c>
      <c r="F10" s="2" t="str">
        <f t="shared" ref="F10:F18" si="1">IF(AND(D10&gt;130,E10&lt;133),"conforme","non conforme")</f>
        <v>conforme</v>
      </c>
    </row>
    <row r="11" spans="1:7">
      <c r="A11" s="2">
        <v>3</v>
      </c>
      <c r="B11" s="2">
        <v>131</v>
      </c>
      <c r="C11" s="2">
        <v>0.4</v>
      </c>
      <c r="D11" s="2">
        <f t="shared" ref="D11:D17" si="2">B11-C11</f>
        <v>130.6</v>
      </c>
      <c r="E11" s="2">
        <f t="shared" si="0"/>
        <v>131.4</v>
      </c>
      <c r="F11" s="2" t="str">
        <f t="shared" si="1"/>
        <v>conforme</v>
      </c>
    </row>
    <row r="12" spans="1:7">
      <c r="A12" s="2">
        <v>4</v>
      </c>
      <c r="B12" s="2">
        <v>131.5</v>
      </c>
      <c r="C12" s="2">
        <v>0.43</v>
      </c>
      <c r="D12" s="2">
        <f t="shared" si="2"/>
        <v>131.07</v>
      </c>
      <c r="E12" s="2">
        <f t="shared" si="0"/>
        <v>131.93</v>
      </c>
      <c r="F12" s="2" t="str">
        <f t="shared" si="1"/>
        <v>conforme</v>
      </c>
    </row>
    <row r="13" spans="1:7">
      <c r="A13" s="17">
        <v>5</v>
      </c>
      <c r="B13" s="17">
        <v>128.6</v>
      </c>
      <c r="C13" s="17">
        <v>0.38</v>
      </c>
      <c r="D13" s="17">
        <f t="shared" si="2"/>
        <v>128.22</v>
      </c>
      <c r="E13" s="17">
        <f t="shared" si="0"/>
        <v>128.97999999999999</v>
      </c>
      <c r="F13" s="17" t="str">
        <f t="shared" si="1"/>
        <v>non conforme</v>
      </c>
    </row>
    <row r="14" spans="1:7">
      <c r="A14" s="17">
        <v>6</v>
      </c>
      <c r="B14" s="17">
        <v>133.1</v>
      </c>
      <c r="C14" s="17">
        <v>0.44</v>
      </c>
      <c r="D14" s="17">
        <f t="shared" si="2"/>
        <v>132.66</v>
      </c>
      <c r="E14" s="17">
        <f t="shared" si="0"/>
        <v>133.54</v>
      </c>
      <c r="F14" s="17" t="str">
        <f t="shared" si="1"/>
        <v>non conforme</v>
      </c>
    </row>
    <row r="15" spans="1:7">
      <c r="A15" s="2">
        <v>7</v>
      </c>
      <c r="B15" s="2">
        <v>132.19999999999999</v>
      </c>
      <c r="C15" s="2">
        <v>0.42</v>
      </c>
      <c r="D15" s="2">
        <f t="shared" si="2"/>
        <v>131.78</v>
      </c>
      <c r="E15" s="2">
        <f t="shared" si="0"/>
        <v>132.61999999999998</v>
      </c>
      <c r="F15" s="2" t="str">
        <f>IF(AND(D15&gt;130,E15&lt;133),"conforme","non conforme")</f>
        <v>conforme</v>
      </c>
    </row>
    <row r="16" spans="1:7">
      <c r="A16" s="2">
        <v>8</v>
      </c>
      <c r="B16" s="2">
        <v>131.5</v>
      </c>
      <c r="C16" s="2">
        <v>0.39</v>
      </c>
      <c r="D16" s="2">
        <f t="shared" si="2"/>
        <v>131.11000000000001</v>
      </c>
      <c r="E16" s="2">
        <f t="shared" si="0"/>
        <v>131.88999999999999</v>
      </c>
      <c r="F16" s="2" t="str">
        <f t="shared" si="1"/>
        <v>conforme</v>
      </c>
    </row>
    <row r="17" spans="1:6">
      <c r="A17" s="17">
        <v>9</v>
      </c>
      <c r="B17" s="17">
        <v>129.5</v>
      </c>
      <c r="C17" s="17">
        <v>0.39</v>
      </c>
      <c r="D17" s="17">
        <f t="shared" si="2"/>
        <v>129.11000000000001</v>
      </c>
      <c r="E17" s="17">
        <f t="shared" si="0"/>
        <v>129.88999999999999</v>
      </c>
      <c r="F17" s="17" t="str">
        <f t="shared" si="1"/>
        <v>non conforme</v>
      </c>
    </row>
    <row r="18" spans="1:6">
      <c r="A18" s="2">
        <v>10</v>
      </c>
      <c r="B18" s="2">
        <v>131.4</v>
      </c>
      <c r="C18" s="2">
        <v>0.76</v>
      </c>
      <c r="D18" s="2">
        <f>B18-C18</f>
        <v>130.64000000000001</v>
      </c>
      <c r="E18" s="2">
        <f t="shared" si="0"/>
        <v>132.16</v>
      </c>
      <c r="F18" s="2" t="str">
        <f t="shared" si="1"/>
        <v>conforme</v>
      </c>
    </row>
  </sheetData>
  <mergeCells count="4">
    <mergeCell ref="A1:A4"/>
    <mergeCell ref="B1:E2"/>
    <mergeCell ref="G1:G2"/>
    <mergeCell ref="B3:E4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G30"/>
  <sheetViews>
    <sheetView tabSelected="1" topLeftCell="A4" workbookViewId="0">
      <selection activeCell="F13" activeCellId="3" sqref="F6 F7 F10 F13"/>
    </sheetView>
  </sheetViews>
  <sheetFormatPr defaultColWidth="11.42578125" defaultRowHeight="15"/>
  <cols>
    <col min="6" max="6" width="17.7109375" customWidth="1"/>
  </cols>
  <sheetData>
    <row r="1" spans="1:7" ht="15.75">
      <c r="A1" s="33" t="s">
        <v>0</v>
      </c>
      <c r="B1" s="31" t="s">
        <v>1</v>
      </c>
      <c r="C1" s="39"/>
      <c r="D1" s="39"/>
      <c r="E1" s="39"/>
      <c r="F1" s="8" t="s">
        <v>2</v>
      </c>
      <c r="G1" s="33" t="s">
        <v>3</v>
      </c>
    </row>
    <row r="2" spans="1:7" ht="16.5" thickBot="1">
      <c r="A2" s="45"/>
      <c r="B2" s="31"/>
      <c r="C2" s="39"/>
      <c r="D2" s="39"/>
      <c r="E2" s="39"/>
      <c r="F2" s="9" t="s">
        <v>4</v>
      </c>
      <c r="G2" s="34"/>
    </row>
    <row r="3" spans="1:7" ht="15.75">
      <c r="A3" s="45"/>
      <c r="B3" s="31" t="s">
        <v>5</v>
      </c>
      <c r="C3" s="39"/>
      <c r="D3" s="39"/>
      <c r="E3" s="39"/>
      <c r="F3" s="10" t="s">
        <v>6</v>
      </c>
      <c r="G3" s="10" t="s">
        <v>7</v>
      </c>
    </row>
    <row r="4" spans="1:7" ht="16.5" thickBot="1">
      <c r="A4" s="34"/>
      <c r="B4" s="31"/>
      <c r="C4" s="39"/>
      <c r="D4" s="39"/>
      <c r="E4" s="39"/>
      <c r="F4" s="11">
        <v>42829</v>
      </c>
      <c r="G4" s="9">
        <v>1</v>
      </c>
    </row>
    <row r="5" spans="1:7">
      <c r="A5" t="s">
        <v>14</v>
      </c>
      <c r="B5" t="s">
        <v>9</v>
      </c>
      <c r="C5" t="s">
        <v>10</v>
      </c>
      <c r="D5" t="s">
        <v>11</v>
      </c>
      <c r="E5" t="s">
        <v>12</v>
      </c>
    </row>
    <row r="6" spans="1:7">
      <c r="A6">
        <v>1</v>
      </c>
      <c r="B6">
        <v>44.81</v>
      </c>
      <c r="C6">
        <v>0.55000000000000004</v>
      </c>
      <c r="D6">
        <f>B6-C6</f>
        <v>44.260000000000005</v>
      </c>
      <c r="E6" s="2">
        <f>B6+C6</f>
        <v>45.36</v>
      </c>
      <c r="F6" s="21" t="str">
        <f>IF(AND(D6&gt;=43,E6&lt;=45),"conforme","non conforme")</f>
        <v>non conforme</v>
      </c>
    </row>
    <row r="7" spans="1:7">
      <c r="A7">
        <v>2</v>
      </c>
      <c r="B7">
        <v>44.86</v>
      </c>
      <c r="C7">
        <v>0.54</v>
      </c>
      <c r="D7">
        <f t="shared" ref="D7:D14" si="0">B7-C7</f>
        <v>44.32</v>
      </c>
      <c r="E7">
        <f t="shared" ref="E7:E14" si="1">B7+C7</f>
        <v>45.4</v>
      </c>
      <c r="F7" s="21" t="str">
        <f t="shared" ref="F7:F14" si="2">IF(AND(D7&gt;=43,E7&lt;=45),"conforme","non conforme")</f>
        <v>non conforme</v>
      </c>
    </row>
    <row r="8" spans="1:7">
      <c r="A8">
        <v>3</v>
      </c>
      <c r="B8">
        <v>44.55</v>
      </c>
      <c r="C8">
        <v>0.4</v>
      </c>
      <c r="D8">
        <f t="shared" si="0"/>
        <v>44.15</v>
      </c>
      <c r="E8">
        <f t="shared" si="1"/>
        <v>44.949999999999996</v>
      </c>
      <c r="F8" t="str">
        <f t="shared" si="2"/>
        <v>conforme</v>
      </c>
    </row>
    <row r="9" spans="1:7">
      <c r="A9">
        <v>4</v>
      </c>
      <c r="B9">
        <v>44.2</v>
      </c>
      <c r="C9">
        <v>0.49</v>
      </c>
      <c r="D9">
        <f t="shared" si="0"/>
        <v>43.71</v>
      </c>
      <c r="E9">
        <f t="shared" si="1"/>
        <v>44.690000000000005</v>
      </c>
      <c r="F9" t="str">
        <f t="shared" si="2"/>
        <v>conforme</v>
      </c>
    </row>
    <row r="10" spans="1:7">
      <c r="A10">
        <v>5</v>
      </c>
      <c r="B10">
        <v>44.69</v>
      </c>
      <c r="C10">
        <v>0.44</v>
      </c>
      <c r="D10">
        <f t="shared" si="0"/>
        <v>44.25</v>
      </c>
      <c r="E10">
        <f t="shared" si="1"/>
        <v>45.129999999999995</v>
      </c>
      <c r="F10" s="21" t="str">
        <f t="shared" si="2"/>
        <v>non conforme</v>
      </c>
    </row>
    <row r="11" spans="1:7">
      <c r="A11">
        <v>6</v>
      </c>
      <c r="B11">
        <v>43.71</v>
      </c>
      <c r="C11">
        <v>0.39</v>
      </c>
      <c r="D11">
        <f t="shared" si="0"/>
        <v>43.32</v>
      </c>
      <c r="E11">
        <f t="shared" si="1"/>
        <v>44.1</v>
      </c>
      <c r="F11" t="str">
        <f t="shared" si="2"/>
        <v>conforme</v>
      </c>
    </row>
    <row r="12" spans="1:7">
      <c r="A12">
        <v>7</v>
      </c>
      <c r="B12">
        <v>43.54</v>
      </c>
      <c r="C12">
        <v>0.4</v>
      </c>
      <c r="D12">
        <f t="shared" si="0"/>
        <v>43.14</v>
      </c>
      <c r="E12">
        <f t="shared" si="1"/>
        <v>43.94</v>
      </c>
      <c r="F12" t="str">
        <f t="shared" si="2"/>
        <v>conforme</v>
      </c>
    </row>
    <row r="13" spans="1:7">
      <c r="A13">
        <v>8</v>
      </c>
      <c r="B13">
        <v>43.46</v>
      </c>
      <c r="C13">
        <v>0.48</v>
      </c>
      <c r="D13">
        <f t="shared" si="0"/>
        <v>42.980000000000004</v>
      </c>
      <c r="E13">
        <f t="shared" si="1"/>
        <v>43.94</v>
      </c>
      <c r="F13" s="21" t="str">
        <f t="shared" si="2"/>
        <v>non conforme</v>
      </c>
    </row>
    <row r="14" spans="1:7">
      <c r="A14">
        <v>9</v>
      </c>
      <c r="B14">
        <v>43.51</v>
      </c>
      <c r="C14">
        <v>0.43</v>
      </c>
      <c r="D14">
        <f t="shared" si="0"/>
        <v>43.08</v>
      </c>
      <c r="E14">
        <f t="shared" si="1"/>
        <v>43.94</v>
      </c>
      <c r="F14" t="str">
        <f t="shared" si="2"/>
        <v>conforme</v>
      </c>
    </row>
    <row r="18" spans="4:7">
      <c r="E18" s="20">
        <v>1</v>
      </c>
      <c r="G18">
        <v>2</v>
      </c>
    </row>
    <row r="21" spans="4:7">
      <c r="D21">
        <v>4</v>
      </c>
      <c r="G21" s="3">
        <v>3</v>
      </c>
    </row>
    <row r="25" spans="4:7">
      <c r="E25" s="44">
        <v>5</v>
      </c>
      <c r="F25" s="44"/>
    </row>
    <row r="27" spans="4:7">
      <c r="E27" s="4">
        <v>6</v>
      </c>
      <c r="G27">
        <v>7</v>
      </c>
    </row>
    <row r="30" spans="4:7">
      <c r="D30" s="4">
        <v>9</v>
      </c>
      <c r="G30">
        <v>8</v>
      </c>
    </row>
  </sheetData>
  <mergeCells count="5">
    <mergeCell ref="E25:F25"/>
    <mergeCell ref="A1:A4"/>
    <mergeCell ref="B1:E2"/>
    <mergeCell ref="G1:G2"/>
    <mergeCell ref="B3:E4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H30"/>
  <sheetViews>
    <sheetView workbookViewId="0">
      <selection activeCell="D11" sqref="D11"/>
    </sheetView>
  </sheetViews>
  <sheetFormatPr defaultColWidth="11.42578125" defaultRowHeight="15"/>
  <cols>
    <col min="6" max="6" width="17.140625" customWidth="1"/>
  </cols>
  <sheetData>
    <row r="1" spans="1:7" ht="15.75">
      <c r="A1" s="35" t="s">
        <v>0</v>
      </c>
      <c r="B1" s="35" t="s">
        <v>1</v>
      </c>
      <c r="C1" s="36"/>
      <c r="D1" s="36"/>
      <c r="E1" s="37"/>
      <c r="F1" s="12" t="s">
        <v>2</v>
      </c>
      <c r="G1" s="46" t="s">
        <v>3</v>
      </c>
    </row>
    <row r="2" spans="1:7" ht="16.5" thickBot="1">
      <c r="A2" s="38"/>
      <c r="B2" s="41"/>
      <c r="C2" s="42"/>
      <c r="D2" s="42"/>
      <c r="E2" s="43"/>
      <c r="F2" s="13" t="s">
        <v>4</v>
      </c>
      <c r="G2" s="47"/>
    </row>
    <row r="3" spans="1:7" ht="15.75">
      <c r="A3" s="38"/>
      <c r="B3" s="35" t="s">
        <v>5</v>
      </c>
      <c r="C3" s="36"/>
      <c r="D3" s="36"/>
      <c r="E3" s="37"/>
      <c r="F3" s="14" t="s">
        <v>6</v>
      </c>
      <c r="G3" s="10" t="s">
        <v>7</v>
      </c>
    </row>
    <row r="4" spans="1:7" ht="16.5" thickBot="1">
      <c r="A4" s="41"/>
      <c r="B4" s="41"/>
      <c r="C4" s="42"/>
      <c r="D4" s="42"/>
      <c r="E4" s="43"/>
      <c r="F4" s="15">
        <v>42829</v>
      </c>
      <c r="G4" s="9">
        <v>1</v>
      </c>
    </row>
    <row r="7" spans="1:7">
      <c r="A7" t="s">
        <v>14</v>
      </c>
      <c r="B7" t="s">
        <v>9</v>
      </c>
      <c r="C7" t="s">
        <v>10</v>
      </c>
      <c r="D7" t="s">
        <v>11</v>
      </c>
      <c r="E7" t="s">
        <v>12</v>
      </c>
      <c r="F7" t="s">
        <v>15</v>
      </c>
    </row>
    <row r="8" spans="1:7">
      <c r="A8">
        <v>1</v>
      </c>
      <c r="B8">
        <v>37.01</v>
      </c>
      <c r="C8">
        <v>0.25</v>
      </c>
      <c r="D8">
        <f>B8-C8</f>
        <v>36.76</v>
      </c>
      <c r="E8">
        <f>B8+C8</f>
        <v>37.26</v>
      </c>
      <c r="F8" t="str">
        <f>IF(AND(D8&gt;36,E8&lt;38),"conforme","non conforme")</f>
        <v>conforme</v>
      </c>
    </row>
    <row r="9" spans="1:7">
      <c r="A9">
        <v>2</v>
      </c>
      <c r="B9">
        <v>37.15</v>
      </c>
      <c r="C9">
        <v>0.28000000000000003</v>
      </c>
      <c r="D9">
        <f t="shared" ref="D9:D16" si="0">B9-C9</f>
        <v>36.869999999999997</v>
      </c>
      <c r="E9">
        <f t="shared" ref="E9:E16" si="1">B9+C9</f>
        <v>37.43</v>
      </c>
      <c r="F9" t="str">
        <f t="shared" ref="F9:F16" si="2">IF(AND(D9&gt;36,E9&lt;38),"conforme","non conforme")</f>
        <v>conforme</v>
      </c>
    </row>
    <row r="10" spans="1:7">
      <c r="A10">
        <v>3</v>
      </c>
      <c r="B10">
        <v>37.19</v>
      </c>
      <c r="C10">
        <v>0.25</v>
      </c>
      <c r="D10">
        <f t="shared" si="0"/>
        <v>36.94</v>
      </c>
      <c r="E10">
        <f t="shared" si="1"/>
        <v>37.44</v>
      </c>
      <c r="F10" t="str">
        <f t="shared" si="2"/>
        <v>conforme</v>
      </c>
    </row>
    <row r="11" spans="1:7">
      <c r="A11">
        <v>4</v>
      </c>
      <c r="B11">
        <v>37.11</v>
      </c>
      <c r="C11">
        <v>0.25</v>
      </c>
      <c r="D11">
        <f t="shared" si="0"/>
        <v>36.86</v>
      </c>
      <c r="E11">
        <f t="shared" si="1"/>
        <v>37.36</v>
      </c>
      <c r="F11" t="str">
        <f t="shared" si="2"/>
        <v>conforme</v>
      </c>
    </row>
    <row r="12" spans="1:7">
      <c r="A12">
        <v>5</v>
      </c>
      <c r="B12">
        <v>36.71</v>
      </c>
      <c r="C12">
        <v>0.25</v>
      </c>
      <c r="D12">
        <f t="shared" si="0"/>
        <v>36.46</v>
      </c>
      <c r="E12">
        <f t="shared" si="1"/>
        <v>36.96</v>
      </c>
      <c r="F12" t="str">
        <f t="shared" si="2"/>
        <v>conforme</v>
      </c>
    </row>
    <row r="13" spans="1:7">
      <c r="A13">
        <v>6</v>
      </c>
      <c r="B13">
        <v>36.46</v>
      </c>
      <c r="C13">
        <v>0.27</v>
      </c>
      <c r="D13">
        <f t="shared" si="0"/>
        <v>36.19</v>
      </c>
      <c r="E13">
        <f t="shared" si="1"/>
        <v>36.730000000000004</v>
      </c>
      <c r="F13" t="str">
        <f t="shared" si="2"/>
        <v>conforme</v>
      </c>
    </row>
    <row r="14" spans="1:7">
      <c r="A14">
        <v>7</v>
      </c>
      <c r="B14">
        <v>36.380000000000003</v>
      </c>
      <c r="C14">
        <v>0.25</v>
      </c>
      <c r="D14">
        <f t="shared" si="0"/>
        <v>36.130000000000003</v>
      </c>
      <c r="E14" s="2">
        <f t="shared" si="1"/>
        <v>36.630000000000003</v>
      </c>
      <c r="F14" t="str">
        <f t="shared" si="2"/>
        <v>conforme</v>
      </c>
    </row>
    <row r="15" spans="1:7">
      <c r="A15">
        <v>8</v>
      </c>
      <c r="B15">
        <v>36.31</v>
      </c>
      <c r="C15">
        <v>0.25</v>
      </c>
      <c r="D15">
        <f t="shared" si="0"/>
        <v>36.06</v>
      </c>
      <c r="E15" s="2">
        <f t="shared" si="1"/>
        <v>36.56</v>
      </c>
      <c r="F15" t="str">
        <f t="shared" si="2"/>
        <v>conforme</v>
      </c>
    </row>
    <row r="16" spans="1:7">
      <c r="A16">
        <v>9</v>
      </c>
      <c r="B16">
        <v>36.29</v>
      </c>
      <c r="C16">
        <v>0.25</v>
      </c>
      <c r="D16">
        <f t="shared" si="0"/>
        <v>36.04</v>
      </c>
      <c r="E16" s="2">
        <f t="shared" si="1"/>
        <v>36.54</v>
      </c>
      <c r="F16" t="str">
        <f t="shared" si="2"/>
        <v>conforme</v>
      </c>
    </row>
    <row r="18" spans="4:8">
      <c r="E18" s="5">
        <v>1</v>
      </c>
      <c r="G18">
        <v>2</v>
      </c>
      <c r="H18" t="s">
        <v>16</v>
      </c>
    </row>
    <row r="21" spans="4:8">
      <c r="D21">
        <v>4</v>
      </c>
      <c r="G21" s="3">
        <v>3</v>
      </c>
    </row>
    <row r="25" spans="4:8">
      <c r="E25" s="44">
        <v>5</v>
      </c>
      <c r="F25" s="44"/>
    </row>
    <row r="27" spans="4:8">
      <c r="E27" s="4">
        <v>6</v>
      </c>
      <c r="G27" s="18">
        <v>7</v>
      </c>
    </row>
    <row r="30" spans="4:8">
      <c r="D30" s="19">
        <v>9</v>
      </c>
      <c r="G30" s="18">
        <v>8</v>
      </c>
    </row>
  </sheetData>
  <mergeCells count="5">
    <mergeCell ref="E25:F25"/>
    <mergeCell ref="A1:A4"/>
    <mergeCell ref="B1:E2"/>
    <mergeCell ref="G1:G2"/>
    <mergeCell ref="B3:E4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0"/>
  <sheetViews>
    <sheetView workbookViewId="0">
      <selection activeCell="C15" sqref="C15"/>
    </sheetView>
  </sheetViews>
  <sheetFormatPr defaultColWidth="11.42578125" defaultRowHeight="15"/>
  <cols>
    <col min="6" max="6" width="11.5703125" customWidth="1"/>
  </cols>
  <sheetData>
    <row r="1" spans="1:9" ht="15.75">
      <c r="A1" s="33" t="s">
        <v>0</v>
      </c>
      <c r="B1" s="31" t="s">
        <v>1</v>
      </c>
      <c r="C1" s="39"/>
      <c r="D1" s="39"/>
      <c r="E1" s="39"/>
      <c r="F1" s="8" t="s">
        <v>2</v>
      </c>
      <c r="G1" s="33" t="s">
        <v>3</v>
      </c>
    </row>
    <row r="2" spans="1:9" ht="16.5" thickBot="1">
      <c r="A2" s="45"/>
      <c r="B2" s="31"/>
      <c r="C2" s="39"/>
      <c r="D2" s="39"/>
      <c r="E2" s="39"/>
      <c r="F2" s="9" t="s">
        <v>4</v>
      </c>
      <c r="G2" s="34"/>
    </row>
    <row r="3" spans="1:9" ht="15.75">
      <c r="A3" s="45"/>
      <c r="B3" s="31" t="s">
        <v>5</v>
      </c>
      <c r="C3" s="39"/>
      <c r="D3" s="39"/>
      <c r="E3" s="39"/>
      <c r="F3" s="10" t="s">
        <v>6</v>
      </c>
      <c r="G3" s="10" t="s">
        <v>7</v>
      </c>
    </row>
    <row r="4" spans="1:9" ht="16.5" thickBot="1">
      <c r="A4" s="34"/>
      <c r="B4" s="31"/>
      <c r="C4" s="39"/>
      <c r="D4" s="39"/>
      <c r="E4" s="39"/>
      <c r="F4" s="11">
        <v>42829</v>
      </c>
      <c r="G4" s="9">
        <v>1</v>
      </c>
    </row>
    <row r="5" spans="1:9" ht="15.75">
      <c r="A5" t="s">
        <v>14</v>
      </c>
      <c r="B5" t="s">
        <v>9</v>
      </c>
      <c r="C5" t="s">
        <v>10</v>
      </c>
      <c r="D5" t="s">
        <v>11</v>
      </c>
      <c r="E5" t="s">
        <v>12</v>
      </c>
      <c r="F5" s="10" t="s">
        <v>13</v>
      </c>
    </row>
    <row r="6" spans="1:9">
      <c r="A6">
        <v>1</v>
      </c>
      <c r="B6">
        <v>30.62</v>
      </c>
      <c r="C6">
        <v>0.25</v>
      </c>
      <c r="D6">
        <f>B6-C6</f>
        <v>30.37</v>
      </c>
      <c r="E6">
        <f>B6+C6</f>
        <v>30.87</v>
      </c>
      <c r="F6" t="str">
        <f>IF(AND(D6&gt;29,E6&lt;31),"conforme","non conforme")</f>
        <v>conforme</v>
      </c>
    </row>
    <row r="7" spans="1:9">
      <c r="A7">
        <v>2</v>
      </c>
      <c r="B7">
        <v>30.7</v>
      </c>
      <c r="C7">
        <v>0.25</v>
      </c>
      <c r="D7">
        <f t="shared" ref="D7:D14" si="0">B7-C7</f>
        <v>30.45</v>
      </c>
      <c r="E7">
        <f t="shared" ref="E7:E14" si="1">B7+C7</f>
        <v>30.95</v>
      </c>
      <c r="F7" t="str">
        <f t="shared" ref="F7:F14" si="2">IF(AND(D7&gt;29,E7&lt;31),"conforme","non conforme")</f>
        <v>conforme</v>
      </c>
    </row>
    <row r="8" spans="1:9">
      <c r="A8">
        <v>3</v>
      </c>
      <c r="B8">
        <v>30.31</v>
      </c>
      <c r="C8">
        <v>0.25</v>
      </c>
      <c r="D8">
        <f t="shared" si="0"/>
        <v>30.06</v>
      </c>
      <c r="E8">
        <f t="shared" si="1"/>
        <v>30.56</v>
      </c>
      <c r="F8" t="str">
        <f t="shared" si="2"/>
        <v>conforme</v>
      </c>
      <c r="G8" s="48" t="s">
        <v>17</v>
      </c>
      <c r="H8" s="48"/>
      <c r="I8" s="48"/>
    </row>
    <row r="9" spans="1:9">
      <c r="A9">
        <v>4</v>
      </c>
      <c r="B9">
        <v>30.33</v>
      </c>
      <c r="C9">
        <v>0.25</v>
      </c>
      <c r="D9">
        <f t="shared" si="0"/>
        <v>30.08</v>
      </c>
      <c r="E9">
        <f t="shared" si="1"/>
        <v>30.58</v>
      </c>
      <c r="F9" t="str">
        <f t="shared" si="2"/>
        <v>conforme</v>
      </c>
      <c r="G9" s="48"/>
      <c r="H9" s="48"/>
      <c r="I9" s="48"/>
    </row>
    <row r="10" spans="1:9">
      <c r="A10">
        <v>5</v>
      </c>
      <c r="B10">
        <v>30.4</v>
      </c>
      <c r="C10">
        <v>0.25</v>
      </c>
      <c r="D10">
        <f t="shared" si="0"/>
        <v>30.15</v>
      </c>
      <c r="E10">
        <f t="shared" si="1"/>
        <v>30.65</v>
      </c>
      <c r="F10" t="str">
        <f t="shared" si="2"/>
        <v>conforme</v>
      </c>
      <c r="G10" s="48"/>
      <c r="H10" s="48"/>
      <c r="I10" s="48"/>
    </row>
    <row r="11" spans="1:9">
      <c r="A11">
        <v>6</v>
      </c>
      <c r="B11">
        <v>30.18</v>
      </c>
      <c r="C11">
        <v>0.25</v>
      </c>
      <c r="D11">
        <f t="shared" si="0"/>
        <v>29.93</v>
      </c>
      <c r="E11">
        <f t="shared" si="1"/>
        <v>30.43</v>
      </c>
      <c r="F11" t="str">
        <f t="shared" si="2"/>
        <v>conforme</v>
      </c>
    </row>
    <row r="12" spans="1:9">
      <c r="A12">
        <v>7</v>
      </c>
      <c r="B12">
        <v>30.19</v>
      </c>
      <c r="C12">
        <v>0.25</v>
      </c>
      <c r="D12">
        <f t="shared" si="0"/>
        <v>29.94</v>
      </c>
      <c r="E12" s="2">
        <f t="shared" si="1"/>
        <v>30.44</v>
      </c>
      <c r="F12" t="str">
        <f t="shared" si="2"/>
        <v>conforme</v>
      </c>
    </row>
    <row r="13" spans="1:9">
      <c r="A13">
        <v>8</v>
      </c>
      <c r="B13">
        <v>30.09</v>
      </c>
      <c r="C13">
        <v>0.25</v>
      </c>
      <c r="D13">
        <f t="shared" si="0"/>
        <v>29.84</v>
      </c>
      <c r="E13" s="2">
        <f t="shared" si="1"/>
        <v>30.34</v>
      </c>
      <c r="F13" t="str">
        <f t="shared" si="2"/>
        <v>conforme</v>
      </c>
    </row>
    <row r="14" spans="1:9">
      <c r="A14">
        <v>9</v>
      </c>
      <c r="B14">
        <v>30.02</v>
      </c>
      <c r="C14">
        <v>0.25</v>
      </c>
      <c r="D14">
        <f t="shared" si="0"/>
        <v>29.77</v>
      </c>
      <c r="E14" s="2">
        <f t="shared" si="1"/>
        <v>30.27</v>
      </c>
      <c r="F14" t="str">
        <f t="shared" si="2"/>
        <v>conforme</v>
      </c>
    </row>
    <row r="18" spans="4:7">
      <c r="E18" s="5">
        <v>2</v>
      </c>
      <c r="G18">
        <v>1</v>
      </c>
    </row>
    <row r="21" spans="4:7">
      <c r="D21">
        <v>4</v>
      </c>
      <c r="G21" s="3">
        <v>3</v>
      </c>
    </row>
    <row r="25" spans="4:7">
      <c r="E25" s="44">
        <v>5</v>
      </c>
      <c r="F25" s="44"/>
    </row>
    <row r="27" spans="4:7">
      <c r="E27" s="4">
        <v>6</v>
      </c>
      <c r="G27" s="2">
        <v>7</v>
      </c>
    </row>
    <row r="30" spans="4:7">
      <c r="D30" s="6">
        <v>9</v>
      </c>
      <c r="G30" s="2">
        <v>8</v>
      </c>
    </row>
  </sheetData>
  <mergeCells count="6">
    <mergeCell ref="E25:F25"/>
    <mergeCell ref="G8:I10"/>
    <mergeCell ref="A1:A4"/>
    <mergeCell ref="B1:E2"/>
    <mergeCell ref="G1:G2"/>
    <mergeCell ref="B3:E4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0"/>
  <sheetViews>
    <sheetView workbookViewId="0">
      <selection activeCell="C19" sqref="C19"/>
    </sheetView>
  </sheetViews>
  <sheetFormatPr defaultColWidth="11.42578125" defaultRowHeight="15"/>
  <cols>
    <col min="6" max="6" width="11.5703125" customWidth="1"/>
  </cols>
  <sheetData>
    <row r="1" spans="1:9" ht="15.75">
      <c r="A1" s="33" t="s">
        <v>0</v>
      </c>
      <c r="B1" s="31" t="s">
        <v>1</v>
      </c>
      <c r="C1" s="39"/>
      <c r="D1" s="39"/>
      <c r="E1" s="39"/>
      <c r="F1" s="8" t="s">
        <v>2</v>
      </c>
      <c r="G1" s="33" t="s">
        <v>3</v>
      </c>
    </row>
    <row r="2" spans="1:9" ht="16.5" thickBot="1">
      <c r="A2" s="45"/>
      <c r="B2" s="31"/>
      <c r="C2" s="39"/>
      <c r="D2" s="39"/>
      <c r="E2" s="39"/>
      <c r="F2" s="9" t="s">
        <v>4</v>
      </c>
      <c r="G2" s="34"/>
    </row>
    <row r="3" spans="1:9" ht="15.75">
      <c r="A3" s="45"/>
      <c r="B3" s="31" t="s">
        <v>5</v>
      </c>
      <c r="C3" s="39"/>
      <c r="D3" s="39"/>
      <c r="E3" s="39"/>
      <c r="F3" s="10" t="s">
        <v>6</v>
      </c>
      <c r="G3" s="10" t="s">
        <v>7</v>
      </c>
    </row>
    <row r="4" spans="1:9" ht="16.5" thickBot="1">
      <c r="A4" s="34"/>
      <c r="B4" s="31"/>
      <c r="C4" s="39"/>
      <c r="D4" s="39"/>
      <c r="E4" s="39"/>
      <c r="F4" s="11">
        <v>42829</v>
      </c>
      <c r="G4" s="9">
        <v>1</v>
      </c>
    </row>
    <row r="5" spans="1:9" ht="15.75">
      <c r="A5" t="s">
        <v>14</v>
      </c>
      <c r="B5" t="s">
        <v>9</v>
      </c>
      <c r="C5" t="s">
        <v>10</v>
      </c>
      <c r="D5" t="s">
        <v>11</v>
      </c>
      <c r="E5" t="s">
        <v>12</v>
      </c>
      <c r="F5" s="10" t="s">
        <v>13</v>
      </c>
    </row>
    <row r="6" spans="1:9">
      <c r="A6">
        <v>1</v>
      </c>
      <c r="B6">
        <v>24.74</v>
      </c>
      <c r="C6">
        <v>0.25</v>
      </c>
      <c r="D6">
        <f>B6-C6</f>
        <v>24.49</v>
      </c>
      <c r="E6">
        <f>B6+C6</f>
        <v>24.99</v>
      </c>
      <c r="F6" t="str">
        <f>IF(AND(D6&gt;24,E6&lt;26),"conforme","non conforme")</f>
        <v>conforme</v>
      </c>
    </row>
    <row r="7" spans="1:9">
      <c r="A7">
        <v>2</v>
      </c>
      <c r="B7">
        <v>24.72</v>
      </c>
      <c r="C7">
        <v>0.25</v>
      </c>
      <c r="D7">
        <f t="shared" ref="D7:D14" si="0">B7-C7</f>
        <v>24.47</v>
      </c>
      <c r="E7">
        <f t="shared" ref="E7:E14" si="1">B7+C7</f>
        <v>24.97</v>
      </c>
      <c r="F7" t="str">
        <f t="shared" ref="F7:F14" si="2">IF(AND(D7&gt;24,E7&lt;26),"conforme","non conforme")</f>
        <v>conforme</v>
      </c>
    </row>
    <row r="8" spans="1:9">
      <c r="A8">
        <v>3</v>
      </c>
      <c r="B8">
        <v>24.8</v>
      </c>
      <c r="C8">
        <v>0.25</v>
      </c>
      <c r="D8">
        <f t="shared" si="0"/>
        <v>24.55</v>
      </c>
      <c r="E8">
        <f t="shared" si="1"/>
        <v>25.05</v>
      </c>
      <c r="F8" t="str">
        <f t="shared" si="2"/>
        <v>conforme</v>
      </c>
      <c r="G8" s="48" t="s">
        <v>17</v>
      </c>
      <c r="H8" s="48"/>
      <c r="I8" s="48"/>
    </row>
    <row r="9" spans="1:9">
      <c r="A9">
        <v>4</v>
      </c>
      <c r="B9">
        <v>24.74</v>
      </c>
      <c r="C9">
        <v>0.25</v>
      </c>
      <c r="D9">
        <f t="shared" si="0"/>
        <v>24.49</v>
      </c>
      <c r="E9">
        <f t="shared" si="1"/>
        <v>24.99</v>
      </c>
      <c r="F9" t="str">
        <f t="shared" si="2"/>
        <v>conforme</v>
      </c>
      <c r="G9" s="48"/>
      <c r="H9" s="48"/>
      <c r="I9" s="48"/>
    </row>
    <row r="10" spans="1:9">
      <c r="A10">
        <v>5</v>
      </c>
      <c r="B10">
        <v>24.81</v>
      </c>
      <c r="C10">
        <v>0.25</v>
      </c>
      <c r="D10">
        <f t="shared" si="0"/>
        <v>24.56</v>
      </c>
      <c r="E10">
        <f t="shared" si="1"/>
        <v>25.06</v>
      </c>
      <c r="F10" t="str">
        <f t="shared" si="2"/>
        <v>conforme</v>
      </c>
      <c r="G10" s="48"/>
      <c r="H10" s="48"/>
      <c r="I10" s="48"/>
    </row>
    <row r="11" spans="1:9">
      <c r="A11">
        <v>6</v>
      </c>
      <c r="B11">
        <v>25.11</v>
      </c>
      <c r="C11">
        <v>0.25</v>
      </c>
      <c r="D11">
        <f t="shared" si="0"/>
        <v>24.86</v>
      </c>
      <c r="E11">
        <f t="shared" si="1"/>
        <v>25.36</v>
      </c>
      <c r="F11" t="str">
        <f t="shared" si="2"/>
        <v>conforme</v>
      </c>
    </row>
    <row r="12" spans="1:9">
      <c r="A12">
        <v>7</v>
      </c>
      <c r="B12">
        <v>25.06</v>
      </c>
      <c r="C12">
        <v>0.25</v>
      </c>
      <c r="D12">
        <f t="shared" si="0"/>
        <v>24.81</v>
      </c>
      <c r="E12" s="2">
        <f t="shared" si="1"/>
        <v>25.31</v>
      </c>
      <c r="F12" t="str">
        <f t="shared" si="2"/>
        <v>conforme</v>
      </c>
    </row>
    <row r="13" spans="1:9">
      <c r="A13">
        <v>8</v>
      </c>
      <c r="B13">
        <v>25.07</v>
      </c>
      <c r="C13">
        <v>0.25</v>
      </c>
      <c r="D13">
        <f t="shared" si="0"/>
        <v>24.82</v>
      </c>
      <c r="E13" s="2">
        <f t="shared" si="1"/>
        <v>25.32</v>
      </c>
      <c r="F13" t="str">
        <f t="shared" si="2"/>
        <v>conforme</v>
      </c>
    </row>
    <row r="14" spans="1:9">
      <c r="A14">
        <v>9</v>
      </c>
      <c r="B14">
        <v>25.08</v>
      </c>
      <c r="C14">
        <v>0.25</v>
      </c>
      <c r="D14">
        <f t="shared" si="0"/>
        <v>24.83</v>
      </c>
      <c r="E14" s="2">
        <f t="shared" si="1"/>
        <v>25.33</v>
      </c>
      <c r="F14" t="str">
        <f t="shared" si="2"/>
        <v>conforme</v>
      </c>
    </row>
    <row r="18" spans="4:7">
      <c r="E18" s="5">
        <v>2</v>
      </c>
      <c r="G18">
        <v>1</v>
      </c>
    </row>
    <row r="21" spans="4:7">
      <c r="D21">
        <v>4</v>
      </c>
      <c r="G21" s="3">
        <v>3</v>
      </c>
    </row>
    <row r="25" spans="4:7">
      <c r="E25" s="44">
        <v>5</v>
      </c>
      <c r="F25" s="44"/>
    </row>
    <row r="27" spans="4:7">
      <c r="E27" s="4">
        <v>6</v>
      </c>
      <c r="G27" s="2">
        <v>7</v>
      </c>
    </row>
    <row r="30" spans="4:7">
      <c r="D30" s="6">
        <v>9</v>
      </c>
      <c r="G30" s="2">
        <v>8</v>
      </c>
    </row>
  </sheetData>
  <mergeCells count="6">
    <mergeCell ref="E25:F25"/>
    <mergeCell ref="G8:I10"/>
    <mergeCell ref="A1:A4"/>
    <mergeCell ref="B1:E2"/>
    <mergeCell ref="G1:G2"/>
    <mergeCell ref="B3:E4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3"/>
  <sheetViews>
    <sheetView workbookViewId="0">
      <selection activeCell="F7" sqref="F7"/>
    </sheetView>
  </sheetViews>
  <sheetFormatPr defaultColWidth="11.42578125" defaultRowHeight="15"/>
  <cols>
    <col min="6" max="6" width="16.28515625" customWidth="1"/>
  </cols>
  <sheetData>
    <row r="1" spans="1:14" ht="15.75">
      <c r="B1" s="33" t="s">
        <v>0</v>
      </c>
      <c r="C1" s="31" t="s">
        <v>1</v>
      </c>
      <c r="D1" s="39"/>
      <c r="E1" s="39"/>
      <c r="F1" s="39"/>
      <c r="G1" s="8" t="s">
        <v>2</v>
      </c>
      <c r="H1" s="33" t="s">
        <v>3</v>
      </c>
    </row>
    <row r="2" spans="1:14" ht="16.5" thickBot="1">
      <c r="B2" s="45"/>
      <c r="C2" s="31"/>
      <c r="D2" s="39"/>
      <c r="E2" s="39"/>
      <c r="F2" s="39"/>
      <c r="G2" s="9" t="s">
        <v>4</v>
      </c>
      <c r="H2" s="34"/>
    </row>
    <row r="3" spans="1:14" ht="15.75">
      <c r="B3" s="45"/>
      <c r="C3" s="31" t="s">
        <v>5</v>
      </c>
      <c r="D3" s="39"/>
      <c r="E3" s="39"/>
      <c r="F3" s="39"/>
      <c r="G3" s="10" t="s">
        <v>6</v>
      </c>
      <c r="H3" s="10" t="s">
        <v>7</v>
      </c>
    </row>
    <row r="4" spans="1:14" ht="16.5" thickBot="1">
      <c r="B4" s="34"/>
      <c r="C4" s="31"/>
      <c r="D4" s="39"/>
      <c r="E4" s="39"/>
      <c r="F4" s="39"/>
      <c r="G4" s="11">
        <v>42829</v>
      </c>
      <c r="H4" s="9">
        <v>1</v>
      </c>
    </row>
    <row r="5" spans="1:14">
      <c r="B5" s="49">
        <v>2021</v>
      </c>
      <c r="C5" s="49"/>
      <c r="D5" s="49"/>
      <c r="E5" s="49"/>
      <c r="F5" s="49"/>
    </row>
    <row r="6" spans="1:14">
      <c r="A6" t="s">
        <v>14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s="7"/>
    </row>
    <row r="7" spans="1:14">
      <c r="A7">
        <v>1</v>
      </c>
      <c r="B7">
        <v>3</v>
      </c>
      <c r="C7">
        <v>1.7</v>
      </c>
      <c r="D7" s="2">
        <f>B7-C7</f>
        <v>1.3</v>
      </c>
      <c r="E7" s="27">
        <f>B7+C7</f>
        <v>4.7</v>
      </c>
      <c r="F7" t="str">
        <f>IF(AND(D7&gt;=1,E7&lt;=5),"conforme","non conforme")</f>
        <v>conforme</v>
      </c>
      <c r="M7" s="1"/>
    </row>
    <row r="8" spans="1:14">
      <c r="A8">
        <v>2</v>
      </c>
      <c r="B8">
        <v>2.8</v>
      </c>
      <c r="C8">
        <v>1.59</v>
      </c>
      <c r="D8" s="2">
        <f t="shared" ref="D8:D15" si="0">B8-C8</f>
        <v>1.2099999999999997</v>
      </c>
      <c r="E8" s="27">
        <f t="shared" ref="E8:E15" si="1">B8+C8</f>
        <v>4.3899999999999997</v>
      </c>
      <c r="F8" t="str">
        <f t="shared" ref="F8:F15" si="2">IF(AND(D8&gt;=1,E8&lt;=5),"conforme","non conforme")</f>
        <v>conforme</v>
      </c>
      <c r="M8" s="1"/>
    </row>
    <row r="9" spans="1:14">
      <c r="A9">
        <v>3</v>
      </c>
      <c r="B9">
        <v>3</v>
      </c>
      <c r="C9">
        <v>1.71</v>
      </c>
      <c r="D9" s="2">
        <f t="shared" si="0"/>
        <v>1.29</v>
      </c>
      <c r="E9" s="27">
        <f t="shared" si="1"/>
        <v>4.71</v>
      </c>
      <c r="F9" t="str">
        <f t="shared" si="2"/>
        <v>conforme</v>
      </c>
      <c r="H9" s="22"/>
      <c r="I9" s="22"/>
      <c r="M9" s="1"/>
    </row>
    <row r="10" spans="1:14">
      <c r="A10">
        <v>4</v>
      </c>
      <c r="B10">
        <v>3.1</v>
      </c>
      <c r="C10">
        <v>1.1299999999999999</v>
      </c>
      <c r="D10" s="2">
        <f t="shared" si="0"/>
        <v>1.9700000000000002</v>
      </c>
      <c r="E10" s="27">
        <f t="shared" si="1"/>
        <v>4.2300000000000004</v>
      </c>
      <c r="F10" t="str">
        <f t="shared" si="2"/>
        <v>conforme</v>
      </c>
      <c r="H10" s="22"/>
      <c r="I10" s="22"/>
      <c r="M10" s="1"/>
    </row>
    <row r="11" spans="1:14">
      <c r="A11">
        <v>5</v>
      </c>
      <c r="B11">
        <v>3.2</v>
      </c>
      <c r="C11">
        <v>1.73</v>
      </c>
      <c r="D11" s="2">
        <f t="shared" si="0"/>
        <v>1.4700000000000002</v>
      </c>
      <c r="E11" s="27">
        <f t="shared" si="1"/>
        <v>4.93</v>
      </c>
      <c r="F11" t="str">
        <f t="shared" si="2"/>
        <v>conforme</v>
      </c>
      <c r="M11" s="1"/>
    </row>
    <row r="12" spans="1:14">
      <c r="A12">
        <v>6</v>
      </c>
      <c r="B12">
        <v>3</v>
      </c>
      <c r="C12">
        <v>0.98</v>
      </c>
      <c r="D12" s="2">
        <f t="shared" si="0"/>
        <v>2.02</v>
      </c>
      <c r="E12" s="27">
        <f t="shared" si="1"/>
        <v>3.98</v>
      </c>
      <c r="F12" t="str">
        <f t="shared" si="2"/>
        <v>conforme</v>
      </c>
      <c r="M12" s="1"/>
    </row>
    <row r="13" spans="1:14">
      <c r="A13">
        <v>7</v>
      </c>
      <c r="B13">
        <v>2.6</v>
      </c>
      <c r="C13">
        <v>1.45</v>
      </c>
      <c r="D13" s="2">
        <f t="shared" si="0"/>
        <v>1.1500000000000001</v>
      </c>
      <c r="E13" s="28">
        <f t="shared" si="1"/>
        <v>4.05</v>
      </c>
      <c r="F13" t="str">
        <f t="shared" si="2"/>
        <v>conforme</v>
      </c>
      <c r="M13" s="1"/>
      <c r="N13" s="2"/>
    </row>
    <row r="14" spans="1:14">
      <c r="A14">
        <v>8</v>
      </c>
      <c r="B14">
        <v>2.8</v>
      </c>
      <c r="C14">
        <v>1.21</v>
      </c>
      <c r="D14" s="2">
        <f t="shared" si="0"/>
        <v>1.5899999999999999</v>
      </c>
      <c r="E14" s="28">
        <f t="shared" si="1"/>
        <v>4.01</v>
      </c>
      <c r="F14" t="str">
        <f t="shared" si="2"/>
        <v>conforme</v>
      </c>
      <c r="M14" s="1"/>
      <c r="N14" s="2"/>
    </row>
    <row r="15" spans="1:14">
      <c r="A15">
        <v>9</v>
      </c>
      <c r="B15">
        <v>2.5</v>
      </c>
      <c r="C15">
        <v>1.51</v>
      </c>
      <c r="D15" s="2">
        <f t="shared" si="0"/>
        <v>0.99</v>
      </c>
      <c r="E15" s="28">
        <f t="shared" si="1"/>
        <v>4.01</v>
      </c>
      <c r="F15" t="str">
        <f t="shared" si="2"/>
        <v>non conforme</v>
      </c>
      <c r="M15" s="1"/>
      <c r="N15" s="2"/>
    </row>
    <row r="16" spans="1:14">
      <c r="B16" t="s">
        <v>16</v>
      </c>
    </row>
    <row r="19" spans="4:7">
      <c r="E19" s="5">
        <v>1</v>
      </c>
      <c r="G19">
        <v>2</v>
      </c>
    </row>
    <row r="22" spans="4:7">
      <c r="D22">
        <v>4</v>
      </c>
      <c r="G22" s="3">
        <v>3</v>
      </c>
    </row>
    <row r="26" spans="4:7">
      <c r="E26" s="44">
        <v>5</v>
      </c>
      <c r="F26" s="44"/>
    </row>
    <row r="28" spans="4:7">
      <c r="E28" s="4">
        <v>6</v>
      </c>
      <c r="G28" s="2">
        <v>7</v>
      </c>
    </row>
    <row r="31" spans="4:7">
      <c r="D31" s="6">
        <v>9</v>
      </c>
      <c r="G31" s="2">
        <v>8</v>
      </c>
    </row>
    <row r="33" spans="2:6">
      <c r="B33" s="23"/>
      <c r="C33" s="23"/>
      <c r="D33" s="23"/>
      <c r="E33" s="23"/>
      <c r="F33" s="23"/>
    </row>
    <row r="35" spans="2:6">
      <c r="D35" s="1"/>
    </row>
    <row r="36" spans="2:6">
      <c r="D36" s="1"/>
    </row>
    <row r="37" spans="2:6">
      <c r="D37" s="1"/>
    </row>
    <row r="38" spans="2:6">
      <c r="D38" s="1"/>
    </row>
    <row r="39" spans="2:6">
      <c r="D39" s="1"/>
    </row>
    <row r="40" spans="2:6">
      <c r="D40" s="1"/>
    </row>
    <row r="41" spans="2:6">
      <c r="D41" s="1"/>
      <c r="E41" s="2"/>
    </row>
    <row r="42" spans="2:6">
      <c r="D42" s="1"/>
      <c r="E42" s="2"/>
    </row>
    <row r="43" spans="2:6">
      <c r="D43" s="1"/>
      <c r="E43" s="2"/>
    </row>
  </sheetData>
  <mergeCells count="6">
    <mergeCell ref="E26:F26"/>
    <mergeCell ref="B5:F5"/>
    <mergeCell ref="B1:B4"/>
    <mergeCell ref="C1:F2"/>
    <mergeCell ref="H1:H2"/>
    <mergeCell ref="C3:F4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1"/>
  <sheetViews>
    <sheetView workbookViewId="0">
      <selection activeCell="G10" sqref="G10"/>
    </sheetView>
  </sheetViews>
  <sheetFormatPr defaultColWidth="11.42578125" defaultRowHeight="15"/>
  <cols>
    <col min="7" max="7" width="16.42578125" customWidth="1"/>
    <col min="10" max="10" width="13.42578125" bestFit="1" customWidth="1"/>
  </cols>
  <sheetData>
    <row r="1" spans="1:10" ht="15.75">
      <c r="A1" s="33" t="s">
        <v>0</v>
      </c>
      <c r="B1" s="31" t="s">
        <v>1</v>
      </c>
      <c r="C1" s="39"/>
      <c r="D1" s="39"/>
      <c r="E1" s="39"/>
      <c r="F1" s="8" t="s">
        <v>2</v>
      </c>
      <c r="G1" s="33" t="s">
        <v>3</v>
      </c>
    </row>
    <row r="2" spans="1:10" ht="16.5" thickBot="1">
      <c r="A2" s="45"/>
      <c r="B2" s="31"/>
      <c r="C2" s="39"/>
      <c r="D2" s="39"/>
      <c r="E2" s="39"/>
      <c r="F2" s="9" t="s">
        <v>4</v>
      </c>
      <c r="G2" s="34"/>
    </row>
    <row r="3" spans="1:10" ht="15.75">
      <c r="A3" s="45"/>
      <c r="B3" s="31" t="s">
        <v>5</v>
      </c>
      <c r="C3" s="39"/>
      <c r="D3" s="39"/>
      <c r="E3" s="39"/>
      <c r="F3" s="10" t="s">
        <v>6</v>
      </c>
      <c r="G3" s="10" t="s">
        <v>7</v>
      </c>
    </row>
    <row r="4" spans="1:10" ht="16.5" thickBot="1">
      <c r="A4" s="34"/>
      <c r="B4" s="31"/>
      <c r="C4" s="39"/>
      <c r="D4" s="39"/>
      <c r="E4" s="39"/>
      <c r="F4" s="11">
        <v>42829</v>
      </c>
      <c r="G4" s="9">
        <v>1</v>
      </c>
    </row>
    <row r="5" spans="1:10">
      <c r="E5" s="44"/>
      <c r="F5" s="44"/>
      <c r="G5" s="44"/>
      <c r="H5" s="44"/>
      <c r="I5" s="44"/>
      <c r="J5" s="44"/>
    </row>
    <row r="6" spans="1:10">
      <c r="A6" t="s">
        <v>14</v>
      </c>
      <c r="B6" t="s">
        <v>18</v>
      </c>
      <c r="C6" t="s">
        <v>9</v>
      </c>
      <c r="D6" t="s">
        <v>10</v>
      </c>
      <c r="E6" t="s">
        <v>11</v>
      </c>
      <c r="F6" t="s">
        <v>12</v>
      </c>
      <c r="G6" t="s">
        <v>13</v>
      </c>
    </row>
    <row r="7" spans="1:10">
      <c r="A7">
        <v>1</v>
      </c>
      <c r="B7">
        <v>5</v>
      </c>
      <c r="C7">
        <v>2.9</v>
      </c>
      <c r="D7">
        <v>0.75</v>
      </c>
      <c r="E7" s="2">
        <f t="shared" ref="E7:E15" si="0">C7-D7</f>
        <v>2.15</v>
      </c>
      <c r="F7" s="2">
        <f t="shared" ref="F7:F15" si="1">C7+D7</f>
        <v>3.65</v>
      </c>
      <c r="G7" t="str">
        <f>IF(AND(E7&gt;=2,F7&lt;=8),"conforme","non conforme")</f>
        <v>conforme</v>
      </c>
    </row>
    <row r="8" spans="1:10">
      <c r="A8" s="21">
        <v>2</v>
      </c>
      <c r="B8" s="21">
        <v>5</v>
      </c>
      <c r="C8" s="21">
        <v>2.6</v>
      </c>
      <c r="D8" s="21">
        <v>0.85</v>
      </c>
      <c r="E8" s="17">
        <f t="shared" si="0"/>
        <v>1.75</v>
      </c>
      <c r="F8" s="17">
        <f t="shared" si="1"/>
        <v>3.45</v>
      </c>
      <c r="G8" s="21" t="str">
        <f t="shared" ref="G8:G15" si="2">IF(AND(E8&gt;=2,F8&lt;=8),"conforme","non conforme")</f>
        <v>non conforme</v>
      </c>
    </row>
    <row r="9" spans="1:10">
      <c r="A9" s="21">
        <v>3</v>
      </c>
      <c r="B9" s="21">
        <v>5</v>
      </c>
      <c r="C9" s="21">
        <v>2.14</v>
      </c>
      <c r="D9" s="21">
        <v>1.74</v>
      </c>
      <c r="E9" s="17">
        <f t="shared" si="0"/>
        <v>0.40000000000000013</v>
      </c>
      <c r="F9" s="17">
        <f t="shared" si="1"/>
        <v>3.88</v>
      </c>
      <c r="G9" s="21" t="str">
        <f>IF(AND(E9&gt;=2,F9&lt;=8),"conforme","non conforme")</f>
        <v>non conforme</v>
      </c>
    </row>
    <row r="10" spans="1:10">
      <c r="A10" s="21">
        <v>4</v>
      </c>
      <c r="B10" s="21">
        <v>5</v>
      </c>
      <c r="C10" s="21">
        <v>2.83</v>
      </c>
      <c r="D10" s="21">
        <v>0.98</v>
      </c>
      <c r="E10" s="17">
        <f t="shared" si="0"/>
        <v>1.85</v>
      </c>
      <c r="F10" s="17">
        <f t="shared" si="1"/>
        <v>3.81</v>
      </c>
      <c r="G10" s="21" t="str">
        <f t="shared" si="2"/>
        <v>non conforme</v>
      </c>
    </row>
    <row r="11" spans="1:10">
      <c r="A11">
        <v>5</v>
      </c>
      <c r="B11">
        <v>5</v>
      </c>
      <c r="C11">
        <v>4.3099999999999996</v>
      </c>
      <c r="D11">
        <v>0.65</v>
      </c>
      <c r="E11" s="2">
        <f t="shared" si="0"/>
        <v>3.6599999999999997</v>
      </c>
      <c r="F11" s="2">
        <f t="shared" si="1"/>
        <v>4.96</v>
      </c>
      <c r="G11" t="str">
        <f t="shared" si="2"/>
        <v>conforme</v>
      </c>
    </row>
    <row r="12" spans="1:10">
      <c r="A12">
        <v>6</v>
      </c>
      <c r="B12">
        <v>5</v>
      </c>
      <c r="C12">
        <v>2.85</v>
      </c>
      <c r="D12">
        <v>0.78</v>
      </c>
      <c r="E12" s="2">
        <f t="shared" si="0"/>
        <v>2.0700000000000003</v>
      </c>
      <c r="F12" s="2">
        <f t="shared" si="1"/>
        <v>3.63</v>
      </c>
      <c r="G12" t="str">
        <f t="shared" si="2"/>
        <v>conforme</v>
      </c>
    </row>
    <row r="13" spans="1:10">
      <c r="A13">
        <v>7</v>
      </c>
      <c r="B13">
        <v>5</v>
      </c>
      <c r="C13">
        <v>4.22</v>
      </c>
      <c r="D13">
        <v>0.27</v>
      </c>
      <c r="E13" s="2">
        <f t="shared" si="0"/>
        <v>3.9499999999999997</v>
      </c>
      <c r="F13" s="2">
        <f t="shared" si="1"/>
        <v>4.49</v>
      </c>
      <c r="G13" t="str">
        <f t="shared" si="2"/>
        <v>conforme</v>
      </c>
    </row>
    <row r="14" spans="1:10">
      <c r="A14">
        <v>8</v>
      </c>
      <c r="B14">
        <v>5</v>
      </c>
      <c r="C14">
        <v>4.09</v>
      </c>
      <c r="D14">
        <v>0.44</v>
      </c>
      <c r="E14" s="2">
        <f t="shared" si="0"/>
        <v>3.65</v>
      </c>
      <c r="F14" s="2">
        <f t="shared" si="1"/>
        <v>4.53</v>
      </c>
      <c r="G14" s="2" t="str">
        <f t="shared" si="2"/>
        <v>conforme</v>
      </c>
    </row>
    <row r="15" spans="1:10">
      <c r="A15">
        <v>9</v>
      </c>
      <c r="B15">
        <v>5</v>
      </c>
      <c r="C15">
        <v>6.2</v>
      </c>
      <c r="D15">
        <v>0.25</v>
      </c>
      <c r="E15" s="2">
        <f t="shared" si="0"/>
        <v>5.95</v>
      </c>
      <c r="F15" s="2">
        <f t="shared" si="1"/>
        <v>6.45</v>
      </c>
      <c r="G15" t="str">
        <f t="shared" si="2"/>
        <v>conforme</v>
      </c>
    </row>
    <row r="19" spans="5:8">
      <c r="F19" s="5">
        <v>1</v>
      </c>
      <c r="H19">
        <v>2</v>
      </c>
    </row>
    <row r="22" spans="5:8">
      <c r="E22">
        <v>4</v>
      </c>
      <c r="H22" s="3">
        <v>3</v>
      </c>
    </row>
    <row r="26" spans="5:8">
      <c r="F26" s="44">
        <v>5</v>
      </c>
      <c r="G26" s="44"/>
    </row>
    <row r="28" spans="5:8">
      <c r="F28" s="4">
        <v>6</v>
      </c>
      <c r="H28" s="2">
        <v>7</v>
      </c>
    </row>
    <row r="31" spans="5:8">
      <c r="E31" s="6">
        <v>9</v>
      </c>
      <c r="H31" s="2">
        <v>8</v>
      </c>
    </row>
  </sheetData>
  <mergeCells count="7">
    <mergeCell ref="F26:G26"/>
    <mergeCell ref="E5:G5"/>
    <mergeCell ref="H5:J5"/>
    <mergeCell ref="A1:A4"/>
    <mergeCell ref="B1:E2"/>
    <mergeCell ref="G1:G2"/>
    <mergeCell ref="B3:E4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1"/>
  <sheetViews>
    <sheetView workbookViewId="0">
      <selection activeCell="G7" sqref="G7"/>
    </sheetView>
  </sheetViews>
  <sheetFormatPr defaultColWidth="11.42578125" defaultRowHeight="15"/>
  <cols>
    <col min="7" max="7" width="16.42578125" customWidth="1"/>
    <col min="10" max="10" width="13.42578125" bestFit="1" customWidth="1"/>
  </cols>
  <sheetData>
    <row r="1" spans="1:10" ht="15.75">
      <c r="A1" s="33" t="s">
        <v>0</v>
      </c>
      <c r="B1" s="31" t="s">
        <v>1</v>
      </c>
      <c r="C1" s="39"/>
      <c r="D1" s="39"/>
      <c r="E1" s="39"/>
      <c r="F1" s="8" t="s">
        <v>2</v>
      </c>
      <c r="G1" s="33" t="s">
        <v>3</v>
      </c>
    </row>
    <row r="2" spans="1:10" ht="16.5" thickBot="1">
      <c r="A2" s="45"/>
      <c r="B2" s="31"/>
      <c r="C2" s="39"/>
      <c r="D2" s="39"/>
      <c r="E2" s="39"/>
      <c r="F2" s="9" t="s">
        <v>4</v>
      </c>
      <c r="G2" s="34"/>
    </row>
    <row r="3" spans="1:10" ht="15.75">
      <c r="A3" s="45"/>
      <c r="B3" s="31" t="s">
        <v>5</v>
      </c>
      <c r="C3" s="39"/>
      <c r="D3" s="39"/>
      <c r="E3" s="39"/>
      <c r="F3" s="10" t="s">
        <v>6</v>
      </c>
      <c r="G3" s="10" t="s">
        <v>7</v>
      </c>
    </row>
    <row r="4" spans="1:10" ht="16.5" thickBot="1">
      <c r="A4" s="34"/>
      <c r="B4" s="31"/>
      <c r="C4" s="39"/>
      <c r="D4" s="39"/>
      <c r="E4" s="39"/>
      <c r="F4" s="11">
        <v>42829</v>
      </c>
      <c r="G4" s="9">
        <v>1</v>
      </c>
    </row>
    <row r="5" spans="1:10">
      <c r="E5" s="44"/>
      <c r="F5" s="44"/>
      <c r="G5" s="44"/>
      <c r="H5" s="44"/>
      <c r="I5" s="44"/>
      <c r="J5" s="44"/>
    </row>
    <row r="6" spans="1:10">
      <c r="A6" t="s">
        <v>14</v>
      </c>
      <c r="B6" t="s">
        <v>18</v>
      </c>
      <c r="C6" t="s">
        <v>9</v>
      </c>
      <c r="D6" t="s">
        <v>10</v>
      </c>
      <c r="E6" t="s">
        <v>11</v>
      </c>
      <c r="F6" t="s">
        <v>12</v>
      </c>
      <c r="G6" t="s">
        <v>13</v>
      </c>
      <c r="H6" t="s">
        <v>19</v>
      </c>
    </row>
    <row r="7" spans="1:10">
      <c r="A7">
        <v>1</v>
      </c>
      <c r="B7">
        <v>-20</v>
      </c>
      <c r="C7">
        <v>-24</v>
      </c>
      <c r="D7">
        <v>1.3</v>
      </c>
      <c r="E7" s="2">
        <f t="shared" ref="E7:E15" si="0">C7-D7</f>
        <v>-25.3</v>
      </c>
      <c r="F7" s="2">
        <f t="shared" ref="F7:F15" si="1">C7+D7</f>
        <v>-22.7</v>
      </c>
      <c r="G7" t="str">
        <f>IF(AND(E7&gt;=2,F7&lt;=8),"conforme","non conforme")</f>
        <v>non conforme</v>
      </c>
      <c r="H7" t="str">
        <f>IF(AND(C7&gt;2,C7&lt;5),"conforme","non conforme")</f>
        <v>non conforme</v>
      </c>
    </row>
    <row r="8" spans="1:10">
      <c r="A8">
        <v>2</v>
      </c>
      <c r="B8">
        <v>-20</v>
      </c>
      <c r="C8">
        <v>-23.5</v>
      </c>
      <c r="D8">
        <v>1.2</v>
      </c>
      <c r="E8" s="2">
        <f t="shared" si="0"/>
        <v>-24.7</v>
      </c>
      <c r="F8" s="2">
        <f t="shared" si="1"/>
        <v>-22.3</v>
      </c>
      <c r="G8" t="str">
        <f t="shared" ref="G8:G15" si="2">IF(AND(E8&gt;=2,F8&lt;=8),"conforme","non conforme")</f>
        <v>non conforme</v>
      </c>
      <c r="H8" t="str">
        <f t="shared" ref="H8:H15" si="3">IF(AND(C8&gt;2,C8&lt;5),"conforme","non conforme")</f>
        <v>non conforme</v>
      </c>
    </row>
    <row r="9" spans="1:10">
      <c r="A9">
        <v>3</v>
      </c>
      <c r="B9">
        <v>-20</v>
      </c>
      <c r="C9">
        <v>-23.6</v>
      </c>
      <c r="D9">
        <v>1.1000000000000001</v>
      </c>
      <c r="E9" s="2">
        <f t="shared" si="0"/>
        <v>-24.700000000000003</v>
      </c>
      <c r="F9" s="2">
        <f t="shared" si="1"/>
        <v>-22.5</v>
      </c>
      <c r="G9" t="str">
        <f>IF(AND(E9&gt;=2,F9&lt;=8),"conforme","non conforme")</f>
        <v>non conforme</v>
      </c>
      <c r="H9" t="str">
        <f t="shared" si="3"/>
        <v>non conforme</v>
      </c>
    </row>
    <row r="10" spans="1:10">
      <c r="A10">
        <v>4</v>
      </c>
      <c r="B10">
        <v>-20</v>
      </c>
      <c r="C10">
        <v>-23.8</v>
      </c>
      <c r="D10">
        <v>1.1000000000000001</v>
      </c>
      <c r="E10" s="2">
        <f t="shared" si="0"/>
        <v>-24.900000000000002</v>
      </c>
      <c r="F10" s="2">
        <f t="shared" si="1"/>
        <v>-22.7</v>
      </c>
      <c r="G10" t="str">
        <f t="shared" si="2"/>
        <v>non conforme</v>
      </c>
      <c r="H10" t="str">
        <f t="shared" si="3"/>
        <v>non conforme</v>
      </c>
    </row>
    <row r="11" spans="1:10">
      <c r="A11">
        <v>5</v>
      </c>
      <c r="B11">
        <v>-20</v>
      </c>
      <c r="C11">
        <v>-21.7</v>
      </c>
      <c r="D11">
        <v>1.1000000000000001</v>
      </c>
      <c r="E11" s="2">
        <f t="shared" si="0"/>
        <v>-22.8</v>
      </c>
      <c r="F11" s="2">
        <f t="shared" si="1"/>
        <v>-20.599999999999998</v>
      </c>
      <c r="G11" t="str">
        <f t="shared" si="2"/>
        <v>non conforme</v>
      </c>
      <c r="H11" t="str">
        <f t="shared" si="3"/>
        <v>non conforme</v>
      </c>
    </row>
    <row r="12" spans="1:10">
      <c r="A12">
        <v>6</v>
      </c>
      <c r="B12">
        <v>-20</v>
      </c>
      <c r="C12">
        <v>-21.8</v>
      </c>
      <c r="D12">
        <v>1.3</v>
      </c>
      <c r="E12" s="2">
        <f t="shared" si="0"/>
        <v>-23.1</v>
      </c>
      <c r="F12" s="2">
        <f t="shared" si="1"/>
        <v>-20.5</v>
      </c>
      <c r="G12" t="str">
        <f t="shared" si="2"/>
        <v>non conforme</v>
      </c>
      <c r="H12" t="str">
        <f t="shared" si="3"/>
        <v>non conforme</v>
      </c>
    </row>
    <row r="13" spans="1:10">
      <c r="A13">
        <v>7</v>
      </c>
      <c r="B13">
        <v>-20</v>
      </c>
      <c r="C13">
        <v>-22</v>
      </c>
      <c r="D13">
        <v>1.3</v>
      </c>
      <c r="E13" s="2">
        <f t="shared" si="0"/>
        <v>-23.3</v>
      </c>
      <c r="F13" s="2">
        <f t="shared" si="1"/>
        <v>-20.7</v>
      </c>
      <c r="G13" t="str">
        <f t="shared" si="2"/>
        <v>non conforme</v>
      </c>
      <c r="H13" t="str">
        <f t="shared" si="3"/>
        <v>non conforme</v>
      </c>
    </row>
    <row r="14" spans="1:10">
      <c r="A14">
        <v>8</v>
      </c>
      <c r="B14">
        <v>-20</v>
      </c>
      <c r="C14">
        <v>-22.3</v>
      </c>
      <c r="D14">
        <v>1.6</v>
      </c>
      <c r="E14" s="2">
        <f t="shared" si="0"/>
        <v>-23.900000000000002</v>
      </c>
      <c r="F14" s="2">
        <f t="shared" si="1"/>
        <v>-20.7</v>
      </c>
      <c r="G14" s="2" t="str">
        <f t="shared" si="2"/>
        <v>non conforme</v>
      </c>
      <c r="H14" t="str">
        <f t="shared" si="3"/>
        <v>non conforme</v>
      </c>
    </row>
    <row r="15" spans="1:10">
      <c r="A15">
        <v>9</v>
      </c>
      <c r="B15">
        <v>-20</v>
      </c>
      <c r="C15">
        <v>-22</v>
      </c>
      <c r="D15">
        <v>1.1000000000000001</v>
      </c>
      <c r="E15" s="2">
        <f t="shared" si="0"/>
        <v>-23.1</v>
      </c>
      <c r="F15" s="2">
        <f t="shared" si="1"/>
        <v>-20.9</v>
      </c>
      <c r="G15" t="str">
        <f t="shared" si="2"/>
        <v>non conforme</v>
      </c>
      <c r="H15" t="str">
        <f t="shared" si="3"/>
        <v>non conforme</v>
      </c>
    </row>
    <row r="19" spans="5:8">
      <c r="F19" s="5">
        <v>1</v>
      </c>
      <c r="H19">
        <v>2</v>
      </c>
    </row>
    <row r="22" spans="5:8">
      <c r="E22">
        <v>4</v>
      </c>
      <c r="H22" s="3">
        <v>3</v>
      </c>
    </row>
    <row r="26" spans="5:8">
      <c r="F26" s="44">
        <v>5</v>
      </c>
      <c r="G26" s="44"/>
    </row>
    <row r="28" spans="5:8">
      <c r="F28" s="4">
        <v>6</v>
      </c>
      <c r="H28" s="2">
        <v>7</v>
      </c>
    </row>
    <row r="31" spans="5:8">
      <c r="E31" s="6">
        <v>9</v>
      </c>
      <c r="H31" s="2">
        <v>8</v>
      </c>
    </row>
  </sheetData>
  <mergeCells count="7">
    <mergeCell ref="H5:J5"/>
    <mergeCell ref="F26:G26"/>
    <mergeCell ref="A1:A4"/>
    <mergeCell ref="B1:E2"/>
    <mergeCell ref="G1:G2"/>
    <mergeCell ref="B3:E4"/>
    <mergeCell ref="E5:G5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0"/>
  <sheetViews>
    <sheetView workbookViewId="0">
      <selection activeCell="D11" sqref="D11"/>
    </sheetView>
  </sheetViews>
  <sheetFormatPr defaultColWidth="11.42578125" defaultRowHeight="15"/>
  <sheetData>
    <row r="1" spans="1:7" ht="15.75">
      <c r="A1" s="30" t="s">
        <v>0</v>
      </c>
      <c r="B1" s="35" t="s">
        <v>1</v>
      </c>
      <c r="C1" s="36"/>
      <c r="D1" s="36"/>
      <c r="E1" s="37"/>
      <c r="F1" s="8" t="s">
        <v>2</v>
      </c>
      <c r="G1" s="33" t="s">
        <v>3</v>
      </c>
    </row>
    <row r="2" spans="1:7" ht="16.5" thickBot="1">
      <c r="A2" s="31"/>
      <c r="B2" s="41"/>
      <c r="C2" s="42"/>
      <c r="D2" s="42"/>
      <c r="E2" s="43"/>
      <c r="F2" s="9" t="s">
        <v>4</v>
      </c>
      <c r="G2" s="34"/>
    </row>
    <row r="3" spans="1:7" ht="15.75">
      <c r="A3" s="31"/>
      <c r="B3" s="35" t="s">
        <v>5</v>
      </c>
      <c r="C3" s="36"/>
      <c r="D3" s="36"/>
      <c r="E3" s="37"/>
      <c r="F3" s="10" t="s">
        <v>6</v>
      </c>
      <c r="G3" s="10" t="s">
        <v>7</v>
      </c>
    </row>
    <row r="4" spans="1:7" ht="16.5" thickBot="1">
      <c r="A4" s="32"/>
      <c r="B4" s="41"/>
      <c r="C4" s="42"/>
      <c r="D4" s="42"/>
      <c r="E4" s="43"/>
      <c r="F4" s="11">
        <v>42829</v>
      </c>
      <c r="G4" s="9">
        <v>1</v>
      </c>
    </row>
    <row r="7" spans="1:7">
      <c r="A7" s="23" t="s">
        <v>14</v>
      </c>
      <c r="B7" s="23" t="s">
        <v>20</v>
      </c>
      <c r="C7" s="23" t="s">
        <v>21</v>
      </c>
      <c r="D7" s="23" t="s">
        <v>10</v>
      </c>
      <c r="E7" s="23" t="s">
        <v>11</v>
      </c>
      <c r="F7" s="23" t="s">
        <v>12</v>
      </c>
      <c r="G7" s="23" t="s">
        <v>13</v>
      </c>
    </row>
    <row r="8" spans="1:7">
      <c r="A8" t="s">
        <v>22</v>
      </c>
      <c r="B8">
        <v>553</v>
      </c>
      <c r="C8">
        <v>547.70000000000005</v>
      </c>
      <c r="D8">
        <v>3</v>
      </c>
      <c r="E8">
        <f>C8-D8</f>
        <v>544.70000000000005</v>
      </c>
      <c r="F8">
        <f>C8+D8</f>
        <v>550.70000000000005</v>
      </c>
      <c r="G8" t="str">
        <f>IF(OR(E8&lt;540,F8&gt;560),"non conforme","conforme")</f>
        <v>conforme</v>
      </c>
    </row>
    <row r="9" spans="1:7">
      <c r="A9" t="s">
        <v>23</v>
      </c>
      <c r="B9">
        <v>553</v>
      </c>
      <c r="C9">
        <v>550.4</v>
      </c>
      <c r="D9">
        <v>3</v>
      </c>
      <c r="E9">
        <f t="shared" ref="E9:E10" si="0">C9-D9</f>
        <v>547.4</v>
      </c>
      <c r="F9">
        <f t="shared" ref="F9:F10" si="1">C9+D9</f>
        <v>553.4</v>
      </c>
      <c r="G9" t="str">
        <f t="shared" ref="G9:G10" si="2">IF(OR(E9&lt;540,F9&gt;560),"non conforme","conforme")</f>
        <v>conforme</v>
      </c>
    </row>
    <row r="10" spans="1:7">
      <c r="A10" t="s">
        <v>24</v>
      </c>
      <c r="B10">
        <v>553</v>
      </c>
      <c r="C10">
        <v>548.5</v>
      </c>
      <c r="D10">
        <v>3</v>
      </c>
      <c r="E10">
        <f t="shared" si="0"/>
        <v>545.5</v>
      </c>
      <c r="F10">
        <f t="shared" si="1"/>
        <v>551.5</v>
      </c>
      <c r="G10" t="str">
        <f t="shared" si="2"/>
        <v>conforme</v>
      </c>
    </row>
    <row r="29" spans="2:4">
      <c r="B29" s="50" t="s">
        <v>25</v>
      </c>
      <c r="C29" s="50"/>
      <c r="D29" s="50"/>
    </row>
    <row r="30" spans="2:4">
      <c r="B30" s="50"/>
      <c r="C30" s="50"/>
      <c r="D30" s="50"/>
    </row>
  </sheetData>
  <mergeCells count="5">
    <mergeCell ref="A1:A4"/>
    <mergeCell ref="B1:E2"/>
    <mergeCell ref="G1:G2"/>
    <mergeCell ref="B3:E4"/>
    <mergeCell ref="B29:D30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9"/>
  <sheetViews>
    <sheetView workbookViewId="0">
      <selection activeCell="D11" sqref="D11"/>
    </sheetView>
  </sheetViews>
  <sheetFormatPr defaultColWidth="11.42578125" defaultRowHeight="15"/>
  <cols>
    <col min="7" max="7" width="16" customWidth="1"/>
  </cols>
  <sheetData>
    <row r="1" spans="1:7" ht="15.75">
      <c r="A1" s="30" t="s">
        <v>0</v>
      </c>
      <c r="B1" s="35" t="s">
        <v>1</v>
      </c>
      <c r="C1" s="36"/>
      <c r="D1" s="36"/>
      <c r="E1" s="37"/>
      <c r="F1" s="8" t="s">
        <v>2</v>
      </c>
      <c r="G1" s="33" t="s">
        <v>3</v>
      </c>
    </row>
    <row r="2" spans="1:7" ht="16.5" thickBot="1">
      <c r="A2" s="31"/>
      <c r="B2" s="41"/>
      <c r="C2" s="42"/>
      <c r="D2" s="42"/>
      <c r="E2" s="43"/>
      <c r="F2" s="9" t="s">
        <v>4</v>
      </c>
      <c r="G2" s="34"/>
    </row>
    <row r="3" spans="1:7" ht="15.75">
      <c r="A3" s="31"/>
      <c r="B3" s="35" t="s">
        <v>5</v>
      </c>
      <c r="C3" s="36"/>
      <c r="D3" s="36"/>
      <c r="E3" s="37"/>
      <c r="F3" s="10" t="s">
        <v>6</v>
      </c>
      <c r="G3" s="10" t="s">
        <v>7</v>
      </c>
    </row>
    <row r="4" spans="1:7" ht="16.5" thickBot="1">
      <c r="A4" s="32"/>
      <c r="B4" s="41"/>
      <c r="C4" s="42"/>
      <c r="D4" s="42"/>
      <c r="E4" s="43"/>
      <c r="F4" s="11">
        <v>42829</v>
      </c>
      <c r="G4" s="9">
        <v>1</v>
      </c>
    </row>
    <row r="7" spans="1:7">
      <c r="A7" s="23" t="s">
        <v>14</v>
      </c>
      <c r="B7" s="23" t="s">
        <v>20</v>
      </c>
      <c r="C7" s="23" t="s">
        <v>21</v>
      </c>
      <c r="D7" s="23" t="s">
        <v>10</v>
      </c>
      <c r="E7" s="23" t="s">
        <v>11</v>
      </c>
      <c r="F7" s="23" t="s">
        <v>12</v>
      </c>
      <c r="G7" s="23" t="s">
        <v>13</v>
      </c>
    </row>
    <row r="8" spans="1:7">
      <c r="A8" t="s">
        <v>22</v>
      </c>
      <c r="B8">
        <v>550</v>
      </c>
      <c r="C8">
        <v>548.1</v>
      </c>
      <c r="D8">
        <v>3</v>
      </c>
      <c r="E8">
        <f>C8-D8</f>
        <v>545.1</v>
      </c>
      <c r="F8">
        <f>C8+D8</f>
        <v>551.1</v>
      </c>
      <c r="G8" s="2" t="str">
        <f>IF(OR(E8&lt;540,F8&gt;560),"non conforme","conforme")</f>
        <v>conforme</v>
      </c>
    </row>
    <row r="9" spans="1:7">
      <c r="A9" t="s">
        <v>23</v>
      </c>
      <c r="B9">
        <v>550</v>
      </c>
      <c r="C9">
        <v>549.29999999999995</v>
      </c>
      <c r="D9">
        <v>3</v>
      </c>
      <c r="E9">
        <f>C9-D9</f>
        <v>546.29999999999995</v>
      </c>
      <c r="F9">
        <f>C9+D9</f>
        <v>552.29999999999995</v>
      </c>
      <c r="G9" s="2" t="str">
        <f t="shared" ref="G9:G10" si="0">IF(OR(E9&lt;540,F9&gt;560),"non conforme","conforme")</f>
        <v>conforme</v>
      </c>
    </row>
    <row r="10" spans="1:7">
      <c r="A10" t="s">
        <v>24</v>
      </c>
      <c r="B10">
        <v>550</v>
      </c>
      <c r="C10">
        <v>549.5</v>
      </c>
      <c r="D10">
        <v>3</v>
      </c>
      <c r="E10">
        <f t="shared" ref="E10" si="1">C10-D10</f>
        <v>546.5</v>
      </c>
      <c r="F10">
        <f t="shared" ref="F10" si="2">C10+D10</f>
        <v>552.5</v>
      </c>
      <c r="G10" s="2" t="str">
        <f t="shared" si="0"/>
        <v>conforme</v>
      </c>
    </row>
    <row r="12" spans="1:7">
      <c r="F12" s="16"/>
    </row>
    <row r="13" spans="1:7">
      <c r="F13" s="16"/>
    </row>
    <row r="14" spans="1:7">
      <c r="F14" s="1"/>
    </row>
    <row r="28" spans="2:4">
      <c r="B28" s="50" t="s">
        <v>26</v>
      </c>
      <c r="C28" s="50"/>
      <c r="D28" s="50"/>
    </row>
    <row r="29" spans="2:4">
      <c r="B29" s="50"/>
      <c r="C29" s="50"/>
      <c r="D29" s="50"/>
    </row>
  </sheetData>
  <mergeCells count="5">
    <mergeCell ref="A1:A4"/>
    <mergeCell ref="B1:E2"/>
    <mergeCell ref="G1:G2"/>
    <mergeCell ref="B3:E4"/>
    <mergeCell ref="B28:D29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6"/>
  <sheetViews>
    <sheetView workbookViewId="0">
      <selection activeCell="B17" sqref="B17"/>
    </sheetView>
  </sheetViews>
  <sheetFormatPr defaultColWidth="11.42578125" defaultRowHeight="15"/>
  <sheetData>
    <row r="1" spans="1:7" ht="15.75">
      <c r="A1" s="30" t="s">
        <v>0</v>
      </c>
      <c r="B1" s="35" t="s">
        <v>1</v>
      </c>
      <c r="C1" s="36"/>
      <c r="D1" s="36"/>
      <c r="E1" s="37"/>
      <c r="F1" s="8" t="s">
        <v>2</v>
      </c>
      <c r="G1" s="33" t="s">
        <v>3</v>
      </c>
    </row>
    <row r="2" spans="1:7" ht="16.5" thickBot="1">
      <c r="A2" s="31"/>
      <c r="B2" s="41"/>
      <c r="C2" s="42"/>
      <c r="D2" s="42"/>
      <c r="E2" s="43"/>
      <c r="F2" s="9" t="s">
        <v>4</v>
      </c>
      <c r="G2" s="34"/>
    </row>
    <row r="3" spans="1:7" ht="15.75">
      <c r="A3" s="31"/>
      <c r="B3" s="35" t="s">
        <v>5</v>
      </c>
      <c r="C3" s="36"/>
      <c r="D3" s="36"/>
      <c r="E3" s="37"/>
      <c r="F3" s="10" t="s">
        <v>6</v>
      </c>
      <c r="G3" s="10" t="s">
        <v>7</v>
      </c>
    </row>
    <row r="4" spans="1:7" ht="16.5" thickBot="1">
      <c r="A4" s="32"/>
      <c r="B4" s="41"/>
      <c r="C4" s="42"/>
      <c r="D4" s="42"/>
      <c r="E4" s="43"/>
      <c r="F4" s="11">
        <v>42829</v>
      </c>
      <c r="G4" s="9">
        <v>1</v>
      </c>
    </row>
    <row r="7" spans="1:7">
      <c r="C7" t="s">
        <v>27</v>
      </c>
    </row>
    <row r="8" spans="1:7">
      <c r="A8" s="25" t="s">
        <v>28</v>
      </c>
      <c r="B8" s="25" t="s">
        <v>10</v>
      </c>
      <c r="C8" s="25" t="s">
        <v>11</v>
      </c>
      <c r="D8" s="25" t="s">
        <v>12</v>
      </c>
      <c r="E8" s="25" t="s">
        <v>13</v>
      </c>
    </row>
    <row r="9" spans="1:7">
      <c r="A9" s="26">
        <v>23.83</v>
      </c>
      <c r="B9" s="26">
        <v>0.2</v>
      </c>
      <c r="C9" s="26">
        <f>A9-B9</f>
        <v>23.63</v>
      </c>
      <c r="D9" s="26">
        <f>A9+B9</f>
        <v>24.029999999999998</v>
      </c>
      <c r="E9" s="26" t="str">
        <f>IF(AND(C9&gt;23,D9&lt;25),"conforme","non conforme")</f>
        <v>conforme</v>
      </c>
    </row>
    <row r="12" spans="1:7">
      <c r="B12" t="s">
        <v>29</v>
      </c>
    </row>
    <row r="14" spans="1:7">
      <c r="A14" s="25" t="s">
        <v>28</v>
      </c>
      <c r="B14" s="25" t="s">
        <v>10</v>
      </c>
      <c r="C14" s="25" t="s">
        <v>11</v>
      </c>
      <c r="D14" s="25" t="s">
        <v>12</v>
      </c>
      <c r="E14" s="25" t="s">
        <v>13</v>
      </c>
    </row>
    <row r="15" spans="1:7">
      <c r="A15" s="26">
        <v>24.08</v>
      </c>
      <c r="B15" s="26">
        <v>0.2</v>
      </c>
      <c r="C15" s="26">
        <f>A15-B15</f>
        <v>23.88</v>
      </c>
      <c r="D15" s="26">
        <f>A15+B15</f>
        <v>24.279999999999998</v>
      </c>
      <c r="E15" s="26" t="str">
        <f>IF(AND(C15&gt;24,D15&lt;26),"conforme","non conforme")</f>
        <v>non conforme</v>
      </c>
    </row>
    <row r="16" spans="1:7">
      <c r="A16" s="26">
        <v>23.81</v>
      </c>
      <c r="B16" s="26">
        <v>0.2</v>
      </c>
      <c r="C16" s="26">
        <f>A16-B16</f>
        <v>23.61</v>
      </c>
      <c r="D16" s="26">
        <f>A16+B16</f>
        <v>24.009999999999998</v>
      </c>
      <c r="E16" s="26" t="str">
        <f>IF(AND(C16&gt;24,D16&lt;26),"conforme","non conforme")</f>
        <v>non conforme</v>
      </c>
    </row>
  </sheetData>
  <mergeCells count="4">
    <mergeCell ref="A1:A4"/>
    <mergeCell ref="B1:E2"/>
    <mergeCell ref="G1:G2"/>
    <mergeCell ref="B3:E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9"/>
  <sheetViews>
    <sheetView workbookViewId="0">
      <selection activeCell="B10" sqref="B10"/>
    </sheetView>
  </sheetViews>
  <sheetFormatPr defaultColWidth="11.42578125" defaultRowHeight="15"/>
  <sheetData>
    <row r="1" spans="1:7" ht="15.75">
      <c r="A1" s="30" t="s">
        <v>0</v>
      </c>
      <c r="B1" s="35" t="s">
        <v>1</v>
      </c>
      <c r="C1" s="36"/>
      <c r="D1" s="36"/>
      <c r="E1" s="37"/>
      <c r="F1" s="8" t="s">
        <v>2</v>
      </c>
      <c r="G1" s="33" t="s">
        <v>3</v>
      </c>
    </row>
    <row r="2" spans="1:7" ht="16.5" thickBot="1">
      <c r="A2" s="31"/>
      <c r="B2" s="41"/>
      <c r="C2" s="42"/>
      <c r="D2" s="42"/>
      <c r="E2" s="43"/>
      <c r="F2" s="9" t="s">
        <v>4</v>
      </c>
      <c r="G2" s="34"/>
    </row>
    <row r="3" spans="1:7" ht="15.75">
      <c r="A3" s="31"/>
      <c r="B3" s="35" t="s">
        <v>5</v>
      </c>
      <c r="C3" s="36"/>
      <c r="D3" s="36"/>
      <c r="E3" s="37"/>
      <c r="F3" s="10" t="s">
        <v>6</v>
      </c>
      <c r="G3" s="10" t="s">
        <v>7</v>
      </c>
    </row>
    <row r="4" spans="1:7" ht="16.5" thickBot="1">
      <c r="A4" s="32"/>
      <c r="B4" s="41"/>
      <c r="C4" s="42"/>
      <c r="D4" s="42"/>
      <c r="E4" s="43"/>
      <c r="F4" s="11">
        <v>42829</v>
      </c>
      <c r="G4" s="9">
        <v>1</v>
      </c>
    </row>
    <row r="6" spans="1:7">
      <c r="A6" s="24" t="s">
        <v>30</v>
      </c>
      <c r="B6" s="24" t="s">
        <v>10</v>
      </c>
      <c r="C6" s="24" t="s">
        <v>11</v>
      </c>
      <c r="D6" s="24" t="s">
        <v>12</v>
      </c>
      <c r="E6" s="24" t="s">
        <v>13</v>
      </c>
    </row>
    <row r="7" spans="1:7">
      <c r="A7">
        <v>99.2</v>
      </c>
      <c r="B7">
        <v>0.36</v>
      </c>
      <c r="C7">
        <f>A7-B7</f>
        <v>98.84</v>
      </c>
      <c r="D7">
        <f>A7+B7</f>
        <v>99.56</v>
      </c>
    </row>
    <row r="8" spans="1:7">
      <c r="A8">
        <v>99.1</v>
      </c>
      <c r="B8">
        <v>0.37</v>
      </c>
      <c r="C8">
        <f t="shared" ref="C8:C9" si="0">A8-B8</f>
        <v>98.72999999999999</v>
      </c>
      <c r="D8">
        <f t="shared" ref="D8:D9" si="1">A8+B8</f>
        <v>99.47</v>
      </c>
    </row>
    <row r="9" spans="1:7">
      <c r="A9">
        <v>99.4</v>
      </c>
      <c r="B9">
        <v>0.38</v>
      </c>
      <c r="C9">
        <f t="shared" si="0"/>
        <v>99.02000000000001</v>
      </c>
      <c r="D9">
        <f t="shared" si="1"/>
        <v>99.78</v>
      </c>
    </row>
  </sheetData>
  <mergeCells count="4">
    <mergeCell ref="A1:A4"/>
    <mergeCell ref="B1:E2"/>
    <mergeCell ref="G1:G2"/>
    <mergeCell ref="B3:E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2"/>
  <sheetViews>
    <sheetView workbookViewId="0">
      <selection activeCell="B13" sqref="B13"/>
    </sheetView>
  </sheetViews>
  <sheetFormatPr defaultColWidth="11.42578125" defaultRowHeight="15"/>
  <sheetData>
    <row r="1" spans="1:7" ht="15.75">
      <c r="A1" s="30" t="s">
        <v>0</v>
      </c>
      <c r="B1" s="35" t="s">
        <v>1</v>
      </c>
      <c r="C1" s="36"/>
      <c r="D1" s="36"/>
      <c r="E1" s="37"/>
      <c r="F1" s="8" t="s">
        <v>2</v>
      </c>
      <c r="G1" s="33" t="s">
        <v>3</v>
      </c>
    </row>
    <row r="2" spans="1:7" ht="16.5" thickBot="1">
      <c r="A2" s="31"/>
      <c r="B2" s="41"/>
      <c r="C2" s="42"/>
      <c r="D2" s="42"/>
      <c r="E2" s="43"/>
      <c r="F2" s="9" t="s">
        <v>4</v>
      </c>
      <c r="G2" s="34"/>
    </row>
    <row r="3" spans="1:7" ht="15.75">
      <c r="A3" s="31"/>
      <c r="B3" s="35" t="s">
        <v>5</v>
      </c>
      <c r="C3" s="36"/>
      <c r="D3" s="36"/>
      <c r="E3" s="37"/>
      <c r="F3" s="10" t="s">
        <v>6</v>
      </c>
      <c r="G3" s="10" t="s">
        <v>7</v>
      </c>
    </row>
    <row r="4" spans="1:7" ht="16.5" thickBot="1">
      <c r="A4" s="32"/>
      <c r="B4" s="41"/>
      <c r="C4" s="42"/>
      <c r="D4" s="42"/>
      <c r="E4" s="43"/>
      <c r="F4" s="11">
        <v>42829</v>
      </c>
      <c r="G4" s="9">
        <v>1</v>
      </c>
    </row>
    <row r="7" spans="1:7">
      <c r="A7" t="s">
        <v>30</v>
      </c>
      <c r="B7" t="s">
        <v>10</v>
      </c>
      <c r="C7" t="s">
        <v>11</v>
      </c>
      <c r="D7" t="s">
        <v>12</v>
      </c>
      <c r="E7" t="s">
        <v>13</v>
      </c>
    </row>
    <row r="8" spans="1:7">
      <c r="A8">
        <v>45.4</v>
      </c>
      <c r="B8">
        <v>0.41</v>
      </c>
      <c r="C8">
        <f>A8-B8</f>
        <v>44.99</v>
      </c>
      <c r="D8">
        <f>A8+B8</f>
        <v>45.809999999999995</v>
      </c>
      <c r="E8" t="str">
        <f>IF(AND(C8&gt;44,D8&lt;47),"conforme","non conforme")</f>
        <v>conforme</v>
      </c>
    </row>
    <row r="9" spans="1:7">
      <c r="A9">
        <v>45.4</v>
      </c>
      <c r="B9">
        <v>0.33</v>
      </c>
      <c r="C9">
        <f t="shared" ref="C9:C12" si="0">A9-B9</f>
        <v>45.07</v>
      </c>
      <c r="D9">
        <f t="shared" ref="D9:D12" si="1">A9+B9</f>
        <v>45.73</v>
      </c>
      <c r="E9" t="str">
        <f t="shared" ref="E9:E12" si="2">IF(AND(C9&gt;44,D9&lt;47),"conforme","non conforme")</f>
        <v>conforme</v>
      </c>
    </row>
    <row r="10" spans="1:7">
      <c r="A10">
        <v>45.2</v>
      </c>
      <c r="B10">
        <v>0.38</v>
      </c>
      <c r="C10">
        <f t="shared" si="0"/>
        <v>44.82</v>
      </c>
      <c r="D10">
        <f t="shared" si="1"/>
        <v>45.580000000000005</v>
      </c>
      <c r="E10" t="str">
        <f t="shared" si="2"/>
        <v>conforme</v>
      </c>
    </row>
    <row r="11" spans="1:7">
      <c r="A11">
        <v>45.4</v>
      </c>
      <c r="B11">
        <v>0.35</v>
      </c>
      <c r="C11">
        <f t="shared" si="0"/>
        <v>45.05</v>
      </c>
      <c r="D11">
        <f t="shared" si="1"/>
        <v>45.75</v>
      </c>
      <c r="E11" t="str">
        <f t="shared" si="2"/>
        <v>conforme</v>
      </c>
    </row>
    <row r="12" spans="1:7">
      <c r="A12">
        <v>45.3</v>
      </c>
      <c r="B12">
        <v>0.4</v>
      </c>
      <c r="C12">
        <f t="shared" si="0"/>
        <v>44.9</v>
      </c>
      <c r="D12">
        <f t="shared" si="1"/>
        <v>45.699999999999996</v>
      </c>
      <c r="E12" t="str">
        <f t="shared" si="2"/>
        <v>conforme</v>
      </c>
    </row>
  </sheetData>
  <mergeCells count="4">
    <mergeCell ref="A1:A4"/>
    <mergeCell ref="B1:E2"/>
    <mergeCell ref="G1:G2"/>
    <mergeCell ref="B3:E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7"/>
  <sheetViews>
    <sheetView workbookViewId="0">
      <selection activeCell="B17" sqref="B17"/>
    </sheetView>
  </sheetViews>
  <sheetFormatPr defaultColWidth="11.42578125" defaultRowHeight="15"/>
  <cols>
    <col min="5" max="5" width="14.28515625" customWidth="1"/>
  </cols>
  <sheetData>
    <row r="1" spans="1:7" ht="15.75">
      <c r="A1" s="30" t="s">
        <v>0</v>
      </c>
      <c r="B1" s="35" t="s">
        <v>1</v>
      </c>
      <c r="C1" s="36"/>
      <c r="D1" s="36"/>
      <c r="E1" s="37"/>
      <c r="F1" s="8" t="s">
        <v>2</v>
      </c>
      <c r="G1" s="33" t="s">
        <v>3</v>
      </c>
    </row>
    <row r="2" spans="1:7" ht="16.5" thickBot="1">
      <c r="A2" s="31"/>
      <c r="B2" s="41"/>
      <c r="C2" s="42"/>
      <c r="D2" s="42"/>
      <c r="E2" s="43"/>
      <c r="F2" s="9" t="s">
        <v>4</v>
      </c>
      <c r="G2" s="34"/>
    </row>
    <row r="3" spans="1:7" ht="15.75">
      <c r="A3" s="31"/>
      <c r="B3" s="35" t="s">
        <v>5</v>
      </c>
      <c r="C3" s="36"/>
      <c r="D3" s="36"/>
      <c r="E3" s="37"/>
      <c r="F3" s="10" t="s">
        <v>6</v>
      </c>
      <c r="G3" s="10" t="s">
        <v>7</v>
      </c>
    </row>
    <row r="4" spans="1:7" ht="16.5" thickBot="1">
      <c r="A4" s="32"/>
      <c r="B4" s="41"/>
      <c r="C4" s="42"/>
      <c r="D4" s="42"/>
      <c r="E4" s="43"/>
      <c r="F4" s="11">
        <v>42829</v>
      </c>
      <c r="G4" s="9">
        <v>1</v>
      </c>
    </row>
    <row r="7" spans="1:7">
      <c r="A7" s="24" t="s">
        <v>28</v>
      </c>
      <c r="B7" s="24" t="s">
        <v>10</v>
      </c>
      <c r="C7" s="24" t="s">
        <v>11</v>
      </c>
      <c r="D7" s="24" t="s">
        <v>12</v>
      </c>
      <c r="E7" s="24" t="s">
        <v>13</v>
      </c>
    </row>
    <row r="8" spans="1:7">
      <c r="A8" s="3">
        <v>174.8</v>
      </c>
      <c r="B8" s="3">
        <v>0.63</v>
      </c>
      <c r="C8" s="3">
        <f>A8-B8</f>
        <v>174.17000000000002</v>
      </c>
      <c r="D8" s="3">
        <f>A8+B8</f>
        <v>175.43</v>
      </c>
      <c r="E8" s="3" t="str">
        <f>IF(AND(C8&gt;170,D8&lt;180),"conforme","non conforme")</f>
        <v>conforme</v>
      </c>
    </row>
    <row r="9" spans="1:7">
      <c r="A9" s="3">
        <v>175.9</v>
      </c>
      <c r="B9" s="3">
        <v>0.65</v>
      </c>
      <c r="C9" s="3">
        <f t="shared" ref="C9:C16" si="0">A9-B9</f>
        <v>175.25</v>
      </c>
      <c r="D9" s="3">
        <f t="shared" ref="D9:D16" si="1">A9+B9</f>
        <v>176.55</v>
      </c>
      <c r="E9" s="3" t="str">
        <f t="shared" ref="E9:E16" si="2">IF(AND(C9&gt;170,D9&lt;180),"conforme","non conforme")</f>
        <v>conforme</v>
      </c>
    </row>
    <row r="10" spans="1:7">
      <c r="A10" s="3">
        <v>175.2</v>
      </c>
      <c r="B10" s="3">
        <v>0.64</v>
      </c>
      <c r="C10" s="3">
        <f t="shared" si="0"/>
        <v>174.56</v>
      </c>
      <c r="D10" s="3">
        <f t="shared" si="1"/>
        <v>175.83999999999997</v>
      </c>
      <c r="E10" s="3" t="str">
        <f t="shared" si="2"/>
        <v>conforme</v>
      </c>
    </row>
    <row r="11" spans="1:7">
      <c r="A11" s="3">
        <v>175.1</v>
      </c>
      <c r="B11" s="3">
        <v>0.63</v>
      </c>
      <c r="C11" s="3">
        <f t="shared" si="0"/>
        <v>174.47</v>
      </c>
      <c r="D11" s="3">
        <f t="shared" si="1"/>
        <v>175.73</v>
      </c>
      <c r="E11" s="3" t="str">
        <f t="shared" si="2"/>
        <v>conforme</v>
      </c>
    </row>
    <row r="12" spans="1:7">
      <c r="A12" s="3">
        <v>176.7</v>
      </c>
      <c r="B12" s="3">
        <v>0.63</v>
      </c>
      <c r="C12" s="3">
        <f t="shared" si="0"/>
        <v>176.07</v>
      </c>
      <c r="D12" s="3">
        <f t="shared" si="1"/>
        <v>177.32999999999998</v>
      </c>
      <c r="E12" s="3" t="str">
        <f t="shared" si="2"/>
        <v>conforme</v>
      </c>
    </row>
    <row r="13" spans="1:7">
      <c r="A13" s="3">
        <v>175.9</v>
      </c>
      <c r="B13" s="3">
        <v>0.63</v>
      </c>
      <c r="C13" s="3">
        <f t="shared" si="0"/>
        <v>175.27</v>
      </c>
      <c r="D13" s="3">
        <f t="shared" si="1"/>
        <v>176.53</v>
      </c>
      <c r="E13" s="3" t="str">
        <f t="shared" si="2"/>
        <v>conforme</v>
      </c>
    </row>
    <row r="14" spans="1:7">
      <c r="A14" s="3">
        <v>177.9</v>
      </c>
      <c r="B14" s="3">
        <v>0.63</v>
      </c>
      <c r="C14" s="3">
        <f t="shared" si="0"/>
        <v>177.27</v>
      </c>
      <c r="D14" s="3">
        <f t="shared" si="1"/>
        <v>178.53</v>
      </c>
      <c r="E14" s="3" t="str">
        <f t="shared" si="2"/>
        <v>conforme</v>
      </c>
    </row>
    <row r="15" spans="1:7">
      <c r="A15" s="3">
        <v>179.3</v>
      </c>
      <c r="B15" s="3">
        <v>0.63</v>
      </c>
      <c r="C15" s="3">
        <f t="shared" si="0"/>
        <v>178.67000000000002</v>
      </c>
      <c r="D15" s="3">
        <f t="shared" si="1"/>
        <v>179.93</v>
      </c>
      <c r="E15" s="3" t="str">
        <f t="shared" si="2"/>
        <v>conforme</v>
      </c>
    </row>
    <row r="16" spans="1:7">
      <c r="A16" s="3">
        <v>178.5</v>
      </c>
      <c r="B16" s="3">
        <v>0.64</v>
      </c>
      <c r="C16" s="3">
        <f t="shared" si="0"/>
        <v>177.86</v>
      </c>
      <c r="D16" s="3">
        <f t="shared" si="1"/>
        <v>179.14</v>
      </c>
      <c r="E16" s="3" t="str">
        <f t="shared" si="2"/>
        <v>conforme</v>
      </c>
    </row>
    <row r="17" spans="1:1">
      <c r="A17" s="3"/>
    </row>
  </sheetData>
  <mergeCells count="4">
    <mergeCell ref="A1:A4"/>
    <mergeCell ref="B1:E2"/>
    <mergeCell ref="G1:G2"/>
    <mergeCell ref="B3:E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30"/>
  <sheetViews>
    <sheetView topLeftCell="A4" workbookViewId="0">
      <selection activeCell="H10" sqref="H10"/>
    </sheetView>
  </sheetViews>
  <sheetFormatPr defaultColWidth="11.42578125" defaultRowHeight="15"/>
  <cols>
    <col min="6" max="6" width="13.42578125" bestFit="1" customWidth="1"/>
  </cols>
  <sheetData>
    <row r="1" spans="1:9" ht="15.75">
      <c r="A1" s="33" t="s">
        <v>0</v>
      </c>
      <c r="B1" s="31" t="s">
        <v>1</v>
      </c>
      <c r="C1" s="39"/>
      <c r="D1" s="39"/>
      <c r="E1" s="39"/>
      <c r="F1" s="8" t="s">
        <v>2</v>
      </c>
      <c r="G1" s="33" t="s">
        <v>3</v>
      </c>
    </row>
    <row r="2" spans="1:9" ht="16.5" thickBot="1">
      <c r="A2" s="45"/>
      <c r="B2" s="31"/>
      <c r="C2" s="39"/>
      <c r="D2" s="39"/>
      <c r="E2" s="39"/>
      <c r="F2" s="9" t="s">
        <v>4</v>
      </c>
      <c r="G2" s="34"/>
    </row>
    <row r="3" spans="1:9" ht="15.75">
      <c r="A3" s="45"/>
      <c r="B3" s="31" t="s">
        <v>5</v>
      </c>
      <c r="C3" s="39"/>
      <c r="D3" s="39"/>
      <c r="E3" s="39"/>
      <c r="F3" s="10" t="s">
        <v>6</v>
      </c>
      <c r="G3" s="10" t="s">
        <v>7</v>
      </c>
    </row>
    <row r="4" spans="1:9" ht="16.5" thickBot="1">
      <c r="A4" s="34"/>
      <c r="B4" s="31"/>
      <c r="C4" s="39"/>
      <c r="D4" s="39"/>
      <c r="E4" s="39"/>
      <c r="F4" s="11">
        <v>42829</v>
      </c>
      <c r="G4" s="9">
        <v>1</v>
      </c>
    </row>
    <row r="5" spans="1:9" ht="15.75">
      <c r="A5" t="s">
        <v>14</v>
      </c>
      <c r="B5" t="s">
        <v>9</v>
      </c>
      <c r="C5" t="s">
        <v>10</v>
      </c>
      <c r="D5" t="s">
        <v>11</v>
      </c>
      <c r="E5" t="s">
        <v>12</v>
      </c>
      <c r="F5" s="10" t="s">
        <v>13</v>
      </c>
    </row>
    <row r="6" spans="1:9">
      <c r="A6">
        <v>1</v>
      </c>
      <c r="B6">
        <v>41.58</v>
      </c>
      <c r="C6">
        <v>0.32</v>
      </c>
      <c r="D6">
        <f>B6-C6</f>
        <v>41.26</v>
      </c>
      <c r="E6">
        <f>B6+C6</f>
        <v>41.9</v>
      </c>
      <c r="F6" t="str">
        <f>IF(AND(D6&gt;40.5,E6&lt;42.5),"conforme","non conforme")</f>
        <v>conforme</v>
      </c>
    </row>
    <row r="7" spans="1:9">
      <c r="A7">
        <v>2</v>
      </c>
      <c r="B7">
        <v>41.74</v>
      </c>
      <c r="C7">
        <v>0.41</v>
      </c>
      <c r="D7">
        <f t="shared" ref="D7:D14" si="0">B7-C7</f>
        <v>41.330000000000005</v>
      </c>
      <c r="E7">
        <f t="shared" ref="E7:E14" si="1">B7+C7</f>
        <v>42.15</v>
      </c>
      <c r="F7" t="str">
        <f t="shared" ref="F7:F14" si="2">IF(AND(D7&gt;40.5,E7&lt;42.5),"conforme","non conforme")</f>
        <v>conforme</v>
      </c>
    </row>
    <row r="8" spans="1:9">
      <c r="A8">
        <v>3</v>
      </c>
      <c r="B8">
        <v>41.75</v>
      </c>
      <c r="C8">
        <v>0.35</v>
      </c>
      <c r="D8">
        <f t="shared" si="0"/>
        <v>41.4</v>
      </c>
      <c r="E8">
        <f t="shared" si="1"/>
        <v>42.1</v>
      </c>
      <c r="F8" t="str">
        <f t="shared" si="2"/>
        <v>conforme</v>
      </c>
      <c r="G8" s="29"/>
      <c r="H8" s="29"/>
      <c r="I8" s="29"/>
    </row>
    <row r="9" spans="1:9">
      <c r="A9">
        <v>4</v>
      </c>
      <c r="B9">
        <v>42.14</v>
      </c>
      <c r="C9">
        <v>0.48</v>
      </c>
      <c r="D9">
        <f t="shared" si="0"/>
        <v>41.660000000000004</v>
      </c>
      <c r="E9">
        <f t="shared" si="1"/>
        <v>42.62</v>
      </c>
      <c r="F9" s="21" t="str">
        <f t="shared" si="2"/>
        <v>non conforme</v>
      </c>
      <c r="G9" s="29"/>
      <c r="H9" s="29"/>
      <c r="I9" s="29"/>
    </row>
    <row r="10" spans="1:9">
      <c r="A10">
        <v>5</v>
      </c>
      <c r="B10">
        <v>41.88</v>
      </c>
      <c r="C10">
        <v>0.3</v>
      </c>
      <c r="D10">
        <f t="shared" si="0"/>
        <v>41.580000000000005</v>
      </c>
      <c r="E10">
        <f t="shared" si="1"/>
        <v>42.18</v>
      </c>
      <c r="F10" t="str">
        <f t="shared" si="2"/>
        <v>conforme</v>
      </c>
      <c r="G10" s="29"/>
      <c r="H10" s="29"/>
      <c r="I10" s="29"/>
    </row>
    <row r="11" spans="1:9">
      <c r="A11">
        <v>6</v>
      </c>
      <c r="B11">
        <v>40.21</v>
      </c>
      <c r="C11">
        <v>0.32</v>
      </c>
      <c r="D11">
        <f t="shared" si="0"/>
        <v>39.89</v>
      </c>
      <c r="E11">
        <f t="shared" si="1"/>
        <v>40.53</v>
      </c>
      <c r="F11" s="21" t="str">
        <f t="shared" si="2"/>
        <v>non conforme</v>
      </c>
    </row>
    <row r="12" spans="1:9">
      <c r="A12">
        <v>7</v>
      </c>
      <c r="B12">
        <v>40.03</v>
      </c>
      <c r="C12">
        <v>0.31</v>
      </c>
      <c r="D12">
        <f t="shared" si="0"/>
        <v>39.72</v>
      </c>
      <c r="E12" s="2">
        <f t="shared" si="1"/>
        <v>40.340000000000003</v>
      </c>
      <c r="F12" s="21" t="str">
        <f t="shared" si="2"/>
        <v>non conforme</v>
      </c>
    </row>
    <row r="13" spans="1:9">
      <c r="A13">
        <v>8</v>
      </c>
      <c r="B13">
        <v>40.229999999999997</v>
      </c>
      <c r="C13">
        <v>0.28999999999999998</v>
      </c>
      <c r="D13">
        <f t="shared" si="0"/>
        <v>39.94</v>
      </c>
      <c r="E13" s="2">
        <f t="shared" si="1"/>
        <v>40.519999999999996</v>
      </c>
      <c r="F13" s="21" t="str">
        <f t="shared" si="2"/>
        <v>non conforme</v>
      </c>
    </row>
    <row r="14" spans="1:9">
      <c r="A14">
        <v>9</v>
      </c>
      <c r="B14">
        <v>40.22</v>
      </c>
      <c r="C14">
        <v>0.25</v>
      </c>
      <c r="D14">
        <f t="shared" si="0"/>
        <v>39.97</v>
      </c>
      <c r="E14" s="2">
        <f t="shared" si="1"/>
        <v>40.47</v>
      </c>
      <c r="F14" s="21" t="str">
        <f t="shared" si="2"/>
        <v>non conforme</v>
      </c>
    </row>
    <row r="18" spans="4:7">
      <c r="E18" s="5">
        <v>2</v>
      </c>
      <c r="G18">
        <v>1</v>
      </c>
    </row>
    <row r="21" spans="4:7">
      <c r="D21">
        <v>4</v>
      </c>
      <c r="G21" s="3">
        <v>3</v>
      </c>
    </row>
    <row r="25" spans="4:7">
      <c r="E25" s="44">
        <v>5</v>
      </c>
      <c r="F25" s="44"/>
    </row>
    <row r="27" spans="4:7">
      <c r="E27" s="4">
        <v>6</v>
      </c>
      <c r="G27" s="2">
        <v>7</v>
      </c>
    </row>
    <row r="30" spans="4:7">
      <c r="D30" s="6">
        <v>9</v>
      </c>
      <c r="G30" s="2">
        <v>8</v>
      </c>
    </row>
  </sheetData>
  <mergeCells count="5">
    <mergeCell ref="A1:A4"/>
    <mergeCell ref="B1:E2"/>
    <mergeCell ref="G1:G2"/>
    <mergeCell ref="B3:E4"/>
    <mergeCell ref="E25:F25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2025-11-14T09:41:36Z</dcterms:modified>
  <cp:category/>
  <cp:contentStatus/>
</cp:coreProperties>
</file>