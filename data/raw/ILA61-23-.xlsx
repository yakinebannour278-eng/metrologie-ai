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filterPrivacy="1" defaultThemeVersion="124226"/>
  <xr:revisionPtr revIDLastSave="6" documentId="8_{B353512C-1BD8-4485-B31A-14B35D9D9D68}" xr6:coauthVersionLast="47" xr6:coauthVersionMax="47" xr10:uidLastSave="{4E634AD1-F71B-47C9-AD1C-B5901524036A}"/>
  <bookViews>
    <workbookView xWindow="-120" yWindow="-120" windowWidth="24240" windowHeight="13020" xr2:uid="{00000000-000D-0000-FFFF-FFFF00000000}"/>
  </bookViews>
  <sheets>
    <sheet name="lab 47a" sheetId="2" r:id="rId1"/>
    <sheet name="lab 47b" sheetId="1" r:id="rId2"/>
    <sheet name="lab 19B" sheetId="3" r:id="rId3"/>
    <sheet name="lab 19A" sheetId="5" r:id="rId4"/>
    <sheet name="lab 145" sheetId="6" r:id="rId5"/>
    <sheet name="lab 62" sheetId="7" r:id="rId6"/>
    <sheet name="lab 82" sheetId="8" r:id="rId7"/>
    <sheet name="lab 83" sheetId="9" r:id="rId8"/>
    <sheet name="lab 83Acong" sheetId="19" r:id="rId9"/>
    <sheet name="lab114-" sheetId="16" r:id="rId10"/>
    <sheet name="LAB139" sheetId="20" r:id="rId11"/>
    <sheet name="lab 03B" sheetId="12" r:id="rId12"/>
    <sheet name="LAB 11B" sheetId="13" r:id="rId13"/>
    <sheet name="lab 08A" sheetId="10" r:id="rId14"/>
    <sheet name="lab 08B" sheetId="11" r:id="rId15"/>
    <sheet name="lab 20B" sheetId="14" r:id="rId16"/>
    <sheet name="lab 84" sheetId="15" r:id="rId17"/>
    <sheet name="lab19D" sheetId="17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2" l="1"/>
  <c r="L11" i="2"/>
  <c r="L12" i="2"/>
  <c r="O12" i="2" s="1"/>
  <c r="L13" i="2"/>
  <c r="N13" i="2" s="1"/>
  <c r="L14" i="2"/>
  <c r="L15" i="2"/>
  <c r="L16" i="2"/>
  <c r="L17" i="2"/>
  <c r="O17" i="2" s="1"/>
  <c r="L18" i="2"/>
  <c r="L9" i="2"/>
  <c r="O9" i="2" s="1"/>
  <c r="O16" i="2"/>
  <c r="O14" i="2"/>
  <c r="O18" i="2"/>
  <c r="F10" i="2"/>
  <c r="F11" i="2"/>
  <c r="F12" i="2"/>
  <c r="F13" i="2"/>
  <c r="F14" i="2"/>
  <c r="F15" i="2"/>
  <c r="F16" i="2"/>
  <c r="F17" i="2"/>
  <c r="F18" i="2"/>
  <c r="F9" i="2"/>
  <c r="I7" i="3"/>
  <c r="I8" i="3"/>
  <c r="I9" i="3"/>
  <c r="I10" i="3"/>
  <c r="I11" i="3"/>
  <c r="I12" i="3"/>
  <c r="I13" i="3"/>
  <c r="I14" i="3"/>
  <c r="I6" i="3"/>
  <c r="J7" i="3"/>
  <c r="J8" i="3"/>
  <c r="M8" i="3" s="1"/>
  <c r="J9" i="3"/>
  <c r="M9" i="3" s="1"/>
  <c r="J10" i="3"/>
  <c r="L10" i="3" s="1"/>
  <c r="J11" i="3"/>
  <c r="J12" i="3"/>
  <c r="L12" i="3" s="1"/>
  <c r="J13" i="3"/>
  <c r="J14" i="3"/>
  <c r="J6" i="3"/>
  <c r="L6" i="3" s="1"/>
  <c r="M13" i="3"/>
  <c r="M14" i="3"/>
  <c r="L8" i="3"/>
  <c r="M12" i="3"/>
  <c r="M11" i="3"/>
  <c r="L11" i="3"/>
  <c r="N11" i="3" s="1"/>
  <c r="L9" i="3"/>
  <c r="M7" i="3"/>
  <c r="L7" i="3"/>
  <c r="N18" i="2"/>
  <c r="O15" i="2"/>
  <c r="N15" i="2"/>
  <c r="N14" i="2"/>
  <c r="O11" i="2"/>
  <c r="N11" i="2"/>
  <c r="O10" i="2"/>
  <c r="N10" i="2"/>
  <c r="E10" i="13"/>
  <c r="F10" i="13"/>
  <c r="F11" i="13"/>
  <c r="E11" i="13"/>
  <c r="N12" i="2" l="1"/>
  <c r="P12" i="2" s="1"/>
  <c r="P18" i="2"/>
  <c r="P15" i="2"/>
  <c r="N16" i="2"/>
  <c r="P16" i="2" s="1"/>
  <c r="M10" i="3"/>
  <c r="L14" i="3"/>
  <c r="N7" i="3"/>
  <c r="N10" i="3"/>
  <c r="N9" i="3"/>
  <c r="N8" i="3"/>
  <c r="N12" i="3"/>
  <c r="N14" i="3"/>
  <c r="L13" i="3"/>
  <c r="N13" i="3" s="1"/>
  <c r="M6" i="3"/>
  <c r="N6" i="3" s="1"/>
  <c r="O13" i="2"/>
  <c r="P13" i="2" s="1"/>
  <c r="P11" i="2"/>
  <c r="N17" i="2"/>
  <c r="P17" i="2" s="1"/>
  <c r="P10" i="2"/>
  <c r="P14" i="2"/>
  <c r="N9" i="2"/>
  <c r="P9" i="2" s="1"/>
  <c r="I7" i="20"/>
  <c r="H7" i="20"/>
  <c r="H8" i="20"/>
  <c r="J8" i="20" s="1"/>
  <c r="H9" i="20"/>
  <c r="I9" i="20"/>
  <c r="I8" i="20"/>
  <c r="F6" i="3"/>
  <c r="E6" i="3"/>
  <c r="J9" i="20" l="1"/>
  <c r="J7" i="20"/>
  <c r="F7" i="19"/>
  <c r="G15" i="19"/>
  <c r="F15" i="19"/>
  <c r="G14" i="19"/>
  <c r="F14" i="19"/>
  <c r="G13" i="19"/>
  <c r="F13" i="19"/>
  <c r="G12" i="19"/>
  <c r="F12" i="19"/>
  <c r="H12" i="19" s="1"/>
  <c r="G11" i="19"/>
  <c r="F11" i="19"/>
  <c r="G10" i="19"/>
  <c r="F10" i="19"/>
  <c r="G9" i="19"/>
  <c r="F9" i="19"/>
  <c r="G8" i="19"/>
  <c r="F8" i="19"/>
  <c r="G7" i="19"/>
  <c r="F17" i="1"/>
  <c r="E17" i="1"/>
  <c r="F16" i="1"/>
  <c r="E16" i="1"/>
  <c r="G16" i="1" s="1"/>
  <c r="F15" i="1"/>
  <c r="E15" i="1"/>
  <c r="F14" i="1"/>
  <c r="E14" i="1"/>
  <c r="G14" i="1" s="1"/>
  <c r="F13" i="1"/>
  <c r="E13" i="1"/>
  <c r="F12" i="1"/>
  <c r="E12" i="1"/>
  <c r="F11" i="1"/>
  <c r="E11" i="1"/>
  <c r="F10" i="1"/>
  <c r="E10" i="1"/>
  <c r="F9" i="1"/>
  <c r="E9" i="1"/>
  <c r="F8" i="1"/>
  <c r="E8" i="1"/>
  <c r="E17" i="2"/>
  <c r="E18" i="2"/>
  <c r="G6" i="17"/>
  <c r="F14" i="17"/>
  <c r="E14" i="17"/>
  <c r="F13" i="17"/>
  <c r="E13" i="17"/>
  <c r="F12" i="17"/>
  <c r="E12" i="17"/>
  <c r="F11" i="17"/>
  <c r="E11" i="17"/>
  <c r="F10" i="17"/>
  <c r="E10" i="17"/>
  <c r="F9" i="17"/>
  <c r="E9" i="17"/>
  <c r="F8" i="17"/>
  <c r="E8" i="17"/>
  <c r="F7" i="17"/>
  <c r="E7" i="17"/>
  <c r="F6" i="17"/>
  <c r="E6" i="17"/>
  <c r="F12" i="14"/>
  <c r="E12" i="14"/>
  <c r="F11" i="14"/>
  <c r="E11" i="14"/>
  <c r="F10" i="14"/>
  <c r="E10" i="14"/>
  <c r="F9" i="14"/>
  <c r="E9" i="14"/>
  <c r="G9" i="14" s="1"/>
  <c r="F8" i="14"/>
  <c r="E8" i="14"/>
  <c r="G8" i="14" s="1"/>
  <c r="F16" i="15"/>
  <c r="E16" i="15"/>
  <c r="F15" i="15"/>
  <c r="E15" i="15"/>
  <c r="F14" i="15"/>
  <c r="E14" i="15"/>
  <c r="F13" i="15"/>
  <c r="E13" i="15"/>
  <c r="F12" i="15"/>
  <c r="E12" i="15"/>
  <c r="F11" i="15"/>
  <c r="E11" i="15"/>
  <c r="F10" i="15"/>
  <c r="E10" i="15"/>
  <c r="F9" i="15"/>
  <c r="E9" i="15"/>
  <c r="F8" i="15"/>
  <c r="E8" i="15"/>
  <c r="F9" i="13"/>
  <c r="E9" i="13"/>
  <c r="F8" i="13"/>
  <c r="E8" i="13"/>
  <c r="F7" i="13"/>
  <c r="E7" i="13"/>
  <c r="G15" i="16"/>
  <c r="F15" i="16"/>
  <c r="G14" i="16"/>
  <c r="F14" i="16"/>
  <c r="G13" i="16"/>
  <c r="F13" i="16"/>
  <c r="G12" i="16"/>
  <c r="F12" i="16"/>
  <c r="G11" i="16"/>
  <c r="F11" i="16"/>
  <c r="G10" i="16"/>
  <c r="F10" i="16"/>
  <c r="G9" i="16"/>
  <c r="F9" i="16"/>
  <c r="G8" i="16"/>
  <c r="F8" i="16"/>
  <c r="G7" i="16"/>
  <c r="F7" i="16"/>
  <c r="G15" i="9"/>
  <c r="F15" i="9"/>
  <c r="G14" i="9"/>
  <c r="F14" i="9"/>
  <c r="G13" i="9"/>
  <c r="F13" i="9"/>
  <c r="G12" i="9"/>
  <c r="F12" i="9"/>
  <c r="G11" i="9"/>
  <c r="F11" i="9"/>
  <c r="G10" i="9"/>
  <c r="F10" i="9"/>
  <c r="G9" i="9"/>
  <c r="F9" i="9"/>
  <c r="G8" i="9"/>
  <c r="F8" i="9"/>
  <c r="G7" i="9"/>
  <c r="F7" i="9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F16" i="5"/>
  <c r="E16" i="5"/>
  <c r="G16" i="5" s="1"/>
  <c r="F15" i="5"/>
  <c r="E15" i="5"/>
  <c r="F14" i="5"/>
  <c r="E14" i="5"/>
  <c r="G14" i="5" s="1"/>
  <c r="F13" i="5"/>
  <c r="E13" i="5"/>
  <c r="F12" i="5"/>
  <c r="E12" i="5"/>
  <c r="G12" i="5" s="1"/>
  <c r="F11" i="5"/>
  <c r="E11" i="5"/>
  <c r="G11" i="5" s="1"/>
  <c r="F10" i="5"/>
  <c r="E10" i="5"/>
  <c r="F9" i="5"/>
  <c r="E9" i="5"/>
  <c r="G9" i="5" s="1"/>
  <c r="F8" i="5"/>
  <c r="E8" i="5"/>
  <c r="G8" i="5" s="1"/>
  <c r="F7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E7" i="3"/>
  <c r="G7" i="3" s="1"/>
  <c r="H14" i="19" l="1"/>
  <c r="H10" i="19"/>
  <c r="H8" i="19"/>
  <c r="G10" i="5"/>
  <c r="H7" i="19"/>
  <c r="H9" i="19"/>
  <c r="H11" i="19"/>
  <c r="H13" i="19"/>
  <c r="H15" i="19"/>
  <c r="G8" i="1"/>
  <c r="G11" i="14"/>
  <c r="G15" i="5"/>
  <c r="G13" i="5"/>
  <c r="G14" i="17"/>
  <c r="G12" i="17"/>
  <c r="G11" i="17"/>
  <c r="G13" i="17"/>
  <c r="G10" i="17"/>
  <c r="G9" i="17"/>
  <c r="G8" i="17"/>
  <c r="G7" i="17"/>
  <c r="G10" i="14"/>
  <c r="G12" i="14"/>
  <c r="G13" i="1"/>
  <c r="G12" i="1"/>
  <c r="G10" i="1"/>
  <c r="G9" i="1"/>
  <c r="G17" i="1"/>
  <c r="G15" i="1"/>
  <c r="G11" i="1"/>
  <c r="H15" i="16" l="1"/>
  <c r="H14" i="16"/>
  <c r="H12" i="16"/>
  <c r="H11" i="16" l="1"/>
  <c r="H9" i="16"/>
  <c r="H13" i="16"/>
  <c r="H10" i="16"/>
  <c r="H8" i="16"/>
  <c r="H7" i="16"/>
  <c r="G9" i="15" l="1"/>
  <c r="G10" i="15"/>
  <c r="G11" i="15"/>
  <c r="G12" i="15"/>
  <c r="G13" i="15"/>
  <c r="G14" i="15"/>
  <c r="G15" i="15"/>
  <c r="G16" i="15"/>
  <c r="E16" i="12"/>
  <c r="D16" i="12"/>
  <c r="E15" i="12"/>
  <c r="D15" i="12"/>
  <c r="E9" i="12"/>
  <c r="D9" i="12"/>
  <c r="F9" i="12" s="1"/>
  <c r="F15" i="12" l="1"/>
  <c r="F16" i="12"/>
  <c r="G8" i="15"/>
  <c r="F8" i="11"/>
  <c r="G8" i="11"/>
  <c r="F9" i="11"/>
  <c r="G9" i="11"/>
  <c r="F10" i="11"/>
  <c r="G10" i="11"/>
  <c r="H9" i="11" l="1"/>
  <c r="H10" i="11"/>
  <c r="H8" i="11"/>
  <c r="H7" i="9" l="1"/>
  <c r="H8" i="9" l="1"/>
  <c r="H14" i="9"/>
  <c r="H12" i="9"/>
  <c r="H9" i="9"/>
  <c r="H10" i="9"/>
  <c r="H15" i="9"/>
  <c r="H13" i="9"/>
  <c r="H11" i="9"/>
  <c r="G9" i="10" l="1"/>
  <c r="G10" i="10"/>
  <c r="G8" i="10"/>
  <c r="F9" i="10"/>
  <c r="F10" i="10"/>
  <c r="F8" i="10"/>
  <c r="H8" i="10" l="1"/>
  <c r="H9" i="10"/>
  <c r="H10" i="10"/>
  <c r="G15" i="8"/>
  <c r="G14" i="8"/>
  <c r="G13" i="8"/>
  <c r="G12" i="8"/>
  <c r="G11" i="8"/>
  <c r="G10" i="8"/>
  <c r="G9" i="8"/>
  <c r="G8" i="8"/>
  <c r="G7" i="8"/>
  <c r="G13" i="7"/>
  <c r="G9" i="7"/>
  <c r="G8" i="3"/>
  <c r="G9" i="3"/>
  <c r="G10" i="3"/>
  <c r="G11" i="3"/>
  <c r="G12" i="3"/>
  <c r="G13" i="3"/>
  <c r="G14" i="3"/>
  <c r="G6" i="3"/>
  <c r="G14" i="7" l="1"/>
  <c r="G11" i="7"/>
  <c r="G9" i="6"/>
  <c r="G14" i="6"/>
  <c r="G13" i="6"/>
  <c r="G11" i="6"/>
  <c r="G6" i="6"/>
  <c r="G10" i="7"/>
  <c r="G8" i="7"/>
  <c r="G12" i="7"/>
  <c r="G7" i="7"/>
  <c r="G6" i="7"/>
  <c r="G8" i="6"/>
  <c r="G7" i="6"/>
  <c r="G12" i="6"/>
  <c r="G10" i="6"/>
  <c r="E16" i="2"/>
  <c r="E15" i="2"/>
  <c r="E14" i="2"/>
  <c r="E13" i="2"/>
  <c r="E12" i="2"/>
  <c r="E11" i="2"/>
  <c r="E10" i="2"/>
  <c r="E9" i="2"/>
  <c r="G14" i="2" l="1"/>
  <c r="G15" i="2"/>
  <c r="G17" i="2"/>
  <c r="G11" i="2"/>
  <c r="G18" i="2"/>
  <c r="G16" i="2"/>
  <c r="G13" i="2"/>
  <c r="G12" i="2"/>
  <c r="G10" i="2"/>
  <c r="G9" i="2"/>
</calcChain>
</file>

<file path=xl/sharedStrings.xml><?xml version="1.0" encoding="utf-8"?>
<sst xmlns="http://schemas.openxmlformats.org/spreadsheetml/2006/main" count="273" uniqueCount="34">
  <si>
    <t>UNPA</t>
  </si>
  <si>
    <t>Manuel des instructions</t>
  </si>
  <si>
    <t>Document</t>
  </si>
  <si>
    <t>Page 1 sur 1</t>
  </si>
  <si>
    <t>ILA 60</t>
  </si>
  <si>
    <t>Analyse des résultats d’étalonnage et/ou de vérification</t>
  </si>
  <si>
    <t>Date</t>
  </si>
  <si>
    <t>Edition</t>
  </si>
  <si>
    <t>N° cellule</t>
  </si>
  <si>
    <t>Tinducation</t>
  </si>
  <si>
    <t>T° ref</t>
  </si>
  <si>
    <t>incertitude</t>
  </si>
  <si>
    <t>min</t>
  </si>
  <si>
    <t>max</t>
  </si>
  <si>
    <t>conformité</t>
  </si>
  <si>
    <t xml:space="preserve">valeur lue </t>
  </si>
  <si>
    <t xml:space="preserve">valeur de réf </t>
  </si>
  <si>
    <t>Tmin</t>
  </si>
  <si>
    <t>Tmax</t>
  </si>
  <si>
    <t>confotmité</t>
  </si>
  <si>
    <t xml:space="preserve"> </t>
  </si>
  <si>
    <t>conforme</t>
  </si>
  <si>
    <t>PETRIN</t>
  </si>
  <si>
    <t>Tlue</t>
  </si>
  <si>
    <t>Tréf</t>
  </si>
  <si>
    <t>chambre de fermentation</t>
  </si>
  <si>
    <t>point</t>
  </si>
  <si>
    <t xml:space="preserve">indication </t>
  </si>
  <si>
    <t>T° lue</t>
  </si>
  <si>
    <t>au fond</t>
  </si>
  <si>
    <t>milieu</t>
  </si>
  <si>
    <t>en avant</t>
  </si>
  <si>
    <t>lab 08A</t>
  </si>
  <si>
    <t>lab 08B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</si>
</sst>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" fontId="0" fillId="0" borderId="0" xfId="0" applyNumberFormat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4" fontId="4" fillId="0" borderId="13" xfId="0" applyNumberFormat="1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9" xfId="0" applyFont="1" applyBorder="1"/>
    <xf numFmtId="0" fontId="0" fillId="0" borderId="19" xfId="0" applyBorder="1"/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4" fillId="0" borderId="1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2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17</xdr:row>
      <xdr:rowOff>180975</xdr:rowOff>
    </xdr:from>
    <xdr:to>
      <xdr:col>7</xdr:col>
      <xdr:colOff>590550</xdr:colOff>
      <xdr:row>29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714625" y="2657475"/>
          <a:ext cx="2447925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581025</xdr:colOff>
      <xdr:row>25</xdr:row>
      <xdr:rowOff>95250</xdr:rowOff>
    </xdr:from>
    <xdr:to>
      <xdr:col>5</xdr:col>
      <xdr:colOff>180975</xdr:colOff>
      <xdr:row>27</xdr:row>
      <xdr:rowOff>85725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629025" y="4914900"/>
          <a:ext cx="361950" cy="37147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 editAs="oneCell">
    <xdr:from>
      <xdr:col>7</xdr:col>
      <xdr:colOff>342900</xdr:colOff>
      <xdr:row>25</xdr:row>
      <xdr:rowOff>104775</xdr:rowOff>
    </xdr:from>
    <xdr:to>
      <xdr:col>7</xdr:col>
      <xdr:colOff>733078</xdr:colOff>
      <xdr:row>27</xdr:row>
      <xdr:rowOff>113953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815ED2DF-DD09-43BE-BB34-09B8A1A9D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4924425"/>
          <a:ext cx="390178" cy="390178"/>
        </a:xfrm>
        <a:prstGeom prst="rect">
          <a:avLst/>
        </a:prstGeom>
      </xdr:spPr>
    </xdr:pic>
    <xdr:clientData/>
  </xdr:twoCellAnchor>
  <xdr:twoCellAnchor editAs="oneCell">
    <xdr:from>
      <xdr:col>6</xdr:col>
      <xdr:colOff>962025</xdr:colOff>
      <xdr:row>28</xdr:row>
      <xdr:rowOff>152400</xdr:rowOff>
    </xdr:from>
    <xdr:to>
      <xdr:col>7</xdr:col>
      <xdr:colOff>171103</xdr:colOff>
      <xdr:row>30</xdr:row>
      <xdr:rowOff>161578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2116EEE4-490D-420D-BFFF-F04A114C3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4025" y="5543550"/>
          <a:ext cx="390178" cy="390178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28</xdr:row>
      <xdr:rowOff>85725</xdr:rowOff>
    </xdr:from>
    <xdr:to>
      <xdr:col>4</xdr:col>
      <xdr:colOff>599728</xdr:colOff>
      <xdr:row>30</xdr:row>
      <xdr:rowOff>94903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F5F6E373-6B73-4CDC-9594-7BD95C6AB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7550" y="5476875"/>
          <a:ext cx="390178" cy="3901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17</xdr:row>
      <xdr:rowOff>180975</xdr:rowOff>
    </xdr:from>
    <xdr:to>
      <xdr:col>7</xdr:col>
      <xdr:colOff>590550</xdr:colOff>
      <xdr:row>29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714625" y="2657475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7</xdr:col>
      <xdr:colOff>361950</xdr:colOff>
      <xdr:row>25</xdr:row>
      <xdr:rowOff>142875</xdr:rowOff>
    </xdr:from>
    <xdr:to>
      <xdr:col>7</xdr:col>
      <xdr:colOff>752128</xdr:colOff>
      <xdr:row>27</xdr:row>
      <xdr:rowOff>152053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274CC2D-DDD7-4C56-8116-236E2CC86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6950" y="4962525"/>
          <a:ext cx="390178" cy="390178"/>
        </a:xfrm>
        <a:prstGeom prst="rect">
          <a:avLst/>
        </a:prstGeom>
      </xdr:spPr>
    </xdr:pic>
    <xdr:clientData/>
  </xdr:twoCellAnchor>
  <xdr:twoCellAnchor editAs="oneCell">
    <xdr:from>
      <xdr:col>6</xdr:col>
      <xdr:colOff>942975</xdr:colOff>
      <xdr:row>28</xdr:row>
      <xdr:rowOff>47625</xdr:rowOff>
    </xdr:from>
    <xdr:to>
      <xdr:col>7</xdr:col>
      <xdr:colOff>190153</xdr:colOff>
      <xdr:row>30</xdr:row>
      <xdr:rowOff>56803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406E27F2-D1EB-49EA-B26F-2C8196EA8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4975" y="5438775"/>
          <a:ext cx="390178" cy="390178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28</xdr:row>
      <xdr:rowOff>104775</xdr:rowOff>
    </xdr:from>
    <xdr:to>
      <xdr:col>4</xdr:col>
      <xdr:colOff>647353</xdr:colOff>
      <xdr:row>30</xdr:row>
      <xdr:rowOff>113953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EE8CF9B2-EEEE-49CC-873C-C2F4A5DA6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5175" y="5495925"/>
          <a:ext cx="390178" cy="390178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571500</xdr:colOff>
      <xdr:row>25</xdr:row>
      <xdr:rowOff>76200</xdr:rowOff>
    </xdr:from>
    <xdr:to>
      <xdr:col>5</xdr:col>
      <xdr:colOff>199678</xdr:colOff>
      <xdr:row>27</xdr:row>
      <xdr:rowOff>85378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3D05B60C-CAE0-4F4E-A1C4-99F5B1E1B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0" y="4895850"/>
          <a:ext cx="390178" cy="390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17</xdr:row>
      <xdr:rowOff>180975</xdr:rowOff>
    </xdr:from>
    <xdr:to>
      <xdr:col>7</xdr:col>
      <xdr:colOff>590550</xdr:colOff>
      <xdr:row>29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714625" y="2657475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17</xdr:row>
      <xdr:rowOff>180975</xdr:rowOff>
    </xdr:from>
    <xdr:to>
      <xdr:col>7</xdr:col>
      <xdr:colOff>590550</xdr:colOff>
      <xdr:row>29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2714625" y="3486150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21</xdr:row>
      <xdr:rowOff>28575</xdr:rowOff>
    </xdr:from>
    <xdr:to>
      <xdr:col>4</xdr:col>
      <xdr:colOff>657225</xdr:colOff>
      <xdr:row>23</xdr:row>
      <xdr:rowOff>19050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C472B3B4-DB75-4C07-8DD0-EE6EB87C38F8}"/>
            </a:ext>
          </a:extLst>
        </xdr:cNvPr>
        <xdr:cNvSpPr/>
      </xdr:nvSpPr>
      <xdr:spPr>
        <a:xfrm>
          <a:off x="3343275" y="4086225"/>
          <a:ext cx="361950" cy="37147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4</xdr:col>
      <xdr:colOff>428625</xdr:colOff>
      <xdr:row>18</xdr:row>
      <xdr:rowOff>180975</xdr:rowOff>
    </xdr:from>
    <xdr:to>
      <xdr:col>7</xdr:col>
      <xdr:colOff>590550</xdr:colOff>
      <xdr:row>30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714625" y="2657475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390525</xdr:colOff>
      <xdr:row>17</xdr:row>
      <xdr:rowOff>171450</xdr:rowOff>
    </xdr:from>
    <xdr:to>
      <xdr:col>7</xdr:col>
      <xdr:colOff>752475</xdr:colOff>
      <xdr:row>19</xdr:row>
      <xdr:rowOff>161925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462CDACE-E9E6-49CB-AB42-EB3775F5BC8D}"/>
            </a:ext>
          </a:extLst>
        </xdr:cNvPr>
        <xdr:cNvSpPr/>
      </xdr:nvSpPr>
      <xdr:spPr>
        <a:xfrm>
          <a:off x="6048375" y="3467100"/>
          <a:ext cx="361950" cy="37147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6</xdr:col>
      <xdr:colOff>962025</xdr:colOff>
      <xdr:row>21</xdr:row>
      <xdr:rowOff>28575</xdr:rowOff>
    </xdr:from>
    <xdr:to>
      <xdr:col>7</xdr:col>
      <xdr:colOff>238125</xdr:colOff>
      <xdr:row>23</xdr:row>
      <xdr:rowOff>19050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E8F5572E-DF91-4F56-A22E-05BFC3CD4A6A}"/>
            </a:ext>
          </a:extLst>
        </xdr:cNvPr>
        <xdr:cNvSpPr/>
      </xdr:nvSpPr>
      <xdr:spPr>
        <a:xfrm>
          <a:off x="5534025" y="4086225"/>
          <a:ext cx="361950" cy="37147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18</xdr:row>
      <xdr:rowOff>180975</xdr:rowOff>
    </xdr:from>
    <xdr:to>
      <xdr:col>8</xdr:col>
      <xdr:colOff>590550</xdr:colOff>
      <xdr:row>30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714625" y="2657475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18</xdr:row>
      <xdr:rowOff>180975</xdr:rowOff>
    </xdr:from>
    <xdr:to>
      <xdr:col>8</xdr:col>
      <xdr:colOff>590550</xdr:colOff>
      <xdr:row>30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476625" y="3667125"/>
          <a:ext cx="278130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742950</xdr:colOff>
      <xdr:row>14</xdr:row>
      <xdr:rowOff>9525</xdr:rowOff>
    </xdr:from>
    <xdr:to>
      <xdr:col>5</xdr:col>
      <xdr:colOff>476250</xdr:colOff>
      <xdr:row>25</xdr:row>
      <xdr:rowOff>152400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742950" y="2733675"/>
          <a:ext cx="2781300" cy="2238375"/>
        </a:xfrm>
        <a:prstGeom prst="cub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13</xdr:row>
      <xdr:rowOff>66675</xdr:rowOff>
    </xdr:from>
    <xdr:to>
      <xdr:col>5</xdr:col>
      <xdr:colOff>438150</xdr:colOff>
      <xdr:row>25</xdr:row>
      <xdr:rowOff>19050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704850" y="2600325"/>
          <a:ext cx="2781300" cy="2238375"/>
        </a:xfrm>
        <a:prstGeom prst="cub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314325</xdr:colOff>
      <xdr:row>17</xdr:row>
      <xdr:rowOff>180975</xdr:rowOff>
    </xdr:from>
    <xdr:to>
      <xdr:col>14</xdr:col>
      <xdr:colOff>609600</xdr:colOff>
      <xdr:row>29</xdr:row>
      <xdr:rowOff>133350</xdr:rowOff>
    </xdr:to>
    <xdr:sp macro="" textlink="">
      <xdr:nvSpPr>
        <xdr:cNvPr id="3" name="Cub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8829675" y="3495675"/>
          <a:ext cx="2581275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619125</xdr:colOff>
      <xdr:row>16</xdr:row>
      <xdr:rowOff>133350</xdr:rowOff>
    </xdr:from>
    <xdr:to>
      <xdr:col>12</xdr:col>
      <xdr:colOff>333375</xdr:colOff>
      <xdr:row>19</xdr:row>
      <xdr:rowOff>19050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9134475" y="3257550"/>
          <a:ext cx="476250" cy="457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13</xdr:col>
      <xdr:colOff>590550</xdr:colOff>
      <xdr:row>19</xdr:row>
      <xdr:rowOff>180975</xdr:rowOff>
    </xdr:from>
    <xdr:to>
      <xdr:col>14</xdr:col>
      <xdr:colOff>304800</xdr:colOff>
      <xdr:row>22</xdr:row>
      <xdr:rowOff>66675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10629900" y="3876675"/>
          <a:ext cx="476250" cy="457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11</xdr:col>
      <xdr:colOff>152400</xdr:colOff>
      <xdr:row>19</xdr:row>
      <xdr:rowOff>104775</xdr:rowOff>
    </xdr:from>
    <xdr:to>
      <xdr:col>11</xdr:col>
      <xdr:colOff>628650</xdr:colOff>
      <xdr:row>21</xdr:row>
      <xdr:rowOff>180975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/>
      </xdr:nvSpPr>
      <xdr:spPr>
        <a:xfrm>
          <a:off x="8667750" y="3800475"/>
          <a:ext cx="476250" cy="457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P18"/>
  <sheetViews>
    <sheetView tabSelected="1" workbookViewId="0">
      <selection activeCell="B19" sqref="B19:F19"/>
    </sheetView>
  </sheetViews>
  <sheetFormatPr defaultColWidth="11.42578125" defaultRowHeight="15"/>
  <cols>
    <col min="7" max="7" width="13.42578125" bestFit="1" customWidth="1"/>
    <col min="16" max="16" width="13.42578125" bestFit="1" customWidth="1"/>
  </cols>
  <sheetData>
    <row r="1" spans="1:16" ht="15.75">
      <c r="A1" s="28" t="s">
        <v>0</v>
      </c>
      <c r="B1" s="26"/>
      <c r="C1" s="31" t="s">
        <v>1</v>
      </c>
      <c r="D1" s="32"/>
      <c r="E1" s="32"/>
      <c r="F1" s="33"/>
      <c r="G1" s="8" t="s">
        <v>2</v>
      </c>
      <c r="H1" s="37" t="s">
        <v>3</v>
      </c>
    </row>
    <row r="2" spans="1:16" ht="16.5" thickBot="1">
      <c r="A2" s="29"/>
      <c r="B2" s="26"/>
      <c r="C2" s="34"/>
      <c r="D2" s="35"/>
      <c r="E2" s="35"/>
      <c r="F2" s="36"/>
      <c r="G2" s="9" t="s">
        <v>4</v>
      </c>
      <c r="H2" s="38"/>
    </row>
    <row r="3" spans="1:16" ht="15.75">
      <c r="A3" s="29"/>
      <c r="B3" s="26"/>
      <c r="C3" s="39" t="s">
        <v>5</v>
      </c>
      <c r="D3" s="40"/>
      <c r="E3" s="40"/>
      <c r="F3" s="41"/>
      <c r="G3" s="10" t="s">
        <v>6</v>
      </c>
      <c r="H3" s="10" t="s">
        <v>7</v>
      </c>
    </row>
    <row r="4" spans="1:16" ht="16.5" thickBot="1">
      <c r="A4" s="30"/>
      <c r="B4" s="26"/>
      <c r="C4" s="34"/>
      <c r="D4" s="35"/>
      <c r="E4" s="35"/>
      <c r="F4" s="36"/>
      <c r="G4" s="11">
        <v>42829</v>
      </c>
      <c r="H4" s="9">
        <v>1</v>
      </c>
    </row>
    <row r="8" spans="1:16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</row>
    <row r="9" spans="1:16">
      <c r="A9" s="2">
        <v>1</v>
      </c>
      <c r="B9" s="2">
        <v>135</v>
      </c>
      <c r="C9" s="2">
        <v>130.4</v>
      </c>
      <c r="D9" s="2">
        <v>0.36</v>
      </c>
      <c r="E9" s="2">
        <f>C9-D9</f>
        <v>130.04</v>
      </c>
      <c r="F9" s="2">
        <f>C9+D9</f>
        <v>130.76000000000002</v>
      </c>
      <c r="G9" s="2" t="str">
        <f>IF(AND(E9&gt;130,F9&lt;133),"conforme","non conforme")</f>
        <v>conforme</v>
      </c>
      <c r="I9" s="2"/>
      <c r="J9" s="2">
        <v>1</v>
      </c>
      <c r="K9" s="2">
        <v>135</v>
      </c>
      <c r="L9" s="2">
        <f>C9-0.5</f>
        <v>129.9</v>
      </c>
      <c r="M9" s="2">
        <v>0.36</v>
      </c>
      <c r="N9" s="2">
        <f>L9-M9</f>
        <v>129.54</v>
      </c>
      <c r="O9" s="2">
        <f>L9+M9</f>
        <v>130.26000000000002</v>
      </c>
      <c r="P9" s="2" t="str">
        <f>IF(AND(N9&gt;130,O9&lt;133),"conforme","non conforme")</f>
        <v>non conforme</v>
      </c>
    </row>
    <row r="10" spans="1:16">
      <c r="A10" s="2">
        <v>2</v>
      </c>
      <c r="B10" s="2">
        <v>135</v>
      </c>
      <c r="C10" s="2">
        <v>132.19999999999999</v>
      </c>
      <c r="D10" s="2">
        <v>0.37</v>
      </c>
      <c r="E10" s="2">
        <f>C10-D10</f>
        <v>131.82999999999998</v>
      </c>
      <c r="F10" s="2">
        <f t="shared" ref="F10:F18" si="0">C10+D10</f>
        <v>132.57</v>
      </c>
      <c r="G10" s="2" t="str">
        <f t="shared" ref="G10:G18" si="1">IF(AND(E10&gt;130,F10&lt;133),"conforme","non conforme")</f>
        <v>conforme</v>
      </c>
      <c r="I10" s="2"/>
      <c r="J10" s="2">
        <v>2</v>
      </c>
      <c r="K10" s="2">
        <v>135</v>
      </c>
      <c r="L10" s="2">
        <f t="shared" ref="L10:L18" si="2">C10-0.5</f>
        <v>131.69999999999999</v>
      </c>
      <c r="M10" s="2">
        <v>0.37</v>
      </c>
      <c r="N10" s="2">
        <f>L10-M10</f>
        <v>131.32999999999998</v>
      </c>
      <c r="O10" s="2">
        <f t="shared" ref="O10" si="3">L10+M10</f>
        <v>132.07</v>
      </c>
      <c r="P10" s="2" t="str">
        <f t="shared" ref="P10:P14" si="4">IF(AND(N10&gt;130,O10&lt;133),"conforme","non conforme")</f>
        <v>conforme</v>
      </c>
    </row>
    <row r="11" spans="1:16">
      <c r="A11" s="2">
        <v>3</v>
      </c>
      <c r="B11" s="2">
        <v>135</v>
      </c>
      <c r="C11" s="2">
        <v>130</v>
      </c>
      <c r="D11" s="2">
        <v>0.37</v>
      </c>
      <c r="E11" s="2">
        <f t="shared" ref="E11:E16" si="5">C11-D12</f>
        <v>129.63</v>
      </c>
      <c r="F11" s="2">
        <f t="shared" si="0"/>
        <v>130.37</v>
      </c>
      <c r="G11" s="2" t="str">
        <f t="shared" si="1"/>
        <v>non conforme</v>
      </c>
      <c r="I11" s="2"/>
      <c r="J11" s="2">
        <v>3</v>
      </c>
      <c r="K11" s="2">
        <v>135</v>
      </c>
      <c r="L11" s="2">
        <f t="shared" si="2"/>
        <v>129.5</v>
      </c>
      <c r="M11" s="2">
        <v>0.37</v>
      </c>
      <c r="N11" s="2">
        <f t="shared" ref="N11:N18" si="6">L11-M12</f>
        <v>129.13</v>
      </c>
      <c r="O11" s="2">
        <f t="shared" ref="O11:O18" si="7">L11+M12</f>
        <v>129.87</v>
      </c>
      <c r="P11" s="2" t="str">
        <f t="shared" si="4"/>
        <v>non conforme</v>
      </c>
    </row>
    <row r="12" spans="1:16">
      <c r="A12" s="2">
        <v>4</v>
      </c>
      <c r="B12" s="2">
        <v>135</v>
      </c>
      <c r="C12" s="2">
        <v>132</v>
      </c>
      <c r="D12" s="2">
        <v>0.37</v>
      </c>
      <c r="E12" s="2">
        <f t="shared" si="5"/>
        <v>131.63</v>
      </c>
      <c r="F12" s="2">
        <f t="shared" si="0"/>
        <v>132.37</v>
      </c>
      <c r="G12" s="2" t="str">
        <f t="shared" si="1"/>
        <v>conforme</v>
      </c>
      <c r="I12" s="2"/>
      <c r="J12" s="2">
        <v>4</v>
      </c>
      <c r="K12" s="2">
        <v>135</v>
      </c>
      <c r="L12" s="2">
        <f t="shared" si="2"/>
        <v>131.5</v>
      </c>
      <c r="M12" s="2">
        <v>0.37</v>
      </c>
      <c r="N12" s="2">
        <f t="shared" si="6"/>
        <v>131.13</v>
      </c>
      <c r="O12" s="2">
        <f t="shared" si="7"/>
        <v>131.87</v>
      </c>
      <c r="P12" s="2" t="str">
        <f t="shared" si="4"/>
        <v>conforme</v>
      </c>
    </row>
    <row r="13" spans="1:16">
      <c r="A13" s="2">
        <v>5</v>
      </c>
      <c r="B13" s="2">
        <v>135</v>
      </c>
      <c r="C13" s="2">
        <v>131</v>
      </c>
      <c r="D13" s="2">
        <v>0.37</v>
      </c>
      <c r="E13" s="2">
        <f t="shared" si="5"/>
        <v>130.63999999999999</v>
      </c>
      <c r="F13" s="2">
        <f t="shared" si="0"/>
        <v>131.37</v>
      </c>
      <c r="G13" s="2" t="str">
        <f t="shared" si="1"/>
        <v>conforme</v>
      </c>
      <c r="I13" s="2"/>
      <c r="J13" s="2">
        <v>5</v>
      </c>
      <c r="K13" s="2">
        <v>135</v>
      </c>
      <c r="L13" s="2">
        <f t="shared" si="2"/>
        <v>130.5</v>
      </c>
      <c r="M13" s="2">
        <v>0.37</v>
      </c>
      <c r="N13" s="2">
        <f t="shared" si="6"/>
        <v>130.13999999999999</v>
      </c>
      <c r="O13" s="2">
        <f t="shared" si="7"/>
        <v>130.86000000000001</v>
      </c>
      <c r="P13" s="2" t="str">
        <f t="shared" si="4"/>
        <v>conforme</v>
      </c>
    </row>
    <row r="14" spans="1:16">
      <c r="A14" s="2">
        <v>6</v>
      </c>
      <c r="B14" s="2">
        <v>135</v>
      </c>
      <c r="C14" s="2">
        <v>131.19999999999999</v>
      </c>
      <c r="D14" s="2">
        <v>0.36</v>
      </c>
      <c r="E14" s="2">
        <f t="shared" si="5"/>
        <v>130.82999999999998</v>
      </c>
      <c r="F14" s="2">
        <f t="shared" si="0"/>
        <v>131.56</v>
      </c>
      <c r="G14" s="2" t="str">
        <f t="shared" si="1"/>
        <v>conforme</v>
      </c>
      <c r="I14" s="2"/>
      <c r="J14" s="2">
        <v>6</v>
      </c>
      <c r="K14" s="2">
        <v>135</v>
      </c>
      <c r="L14" s="2">
        <f t="shared" si="2"/>
        <v>130.69999999999999</v>
      </c>
      <c r="M14" s="2">
        <v>0.36</v>
      </c>
      <c r="N14" s="2">
        <f t="shared" si="6"/>
        <v>130.32999999999998</v>
      </c>
      <c r="O14" s="2">
        <f t="shared" si="7"/>
        <v>131.07</v>
      </c>
      <c r="P14" s="2" t="str">
        <f t="shared" si="4"/>
        <v>conforme</v>
      </c>
    </row>
    <row r="15" spans="1:16">
      <c r="A15" s="2">
        <v>7</v>
      </c>
      <c r="B15" s="2">
        <v>135</v>
      </c>
      <c r="C15" s="2">
        <v>132.80000000000001</v>
      </c>
      <c r="D15" s="2">
        <v>0.37</v>
      </c>
      <c r="E15" s="2">
        <f t="shared" si="5"/>
        <v>132.43</v>
      </c>
      <c r="F15" s="2">
        <f t="shared" si="0"/>
        <v>133.17000000000002</v>
      </c>
      <c r="G15" s="2" t="str">
        <f>IF(AND(E15&gt;130,F15&lt;133),"conforme","non conforme")</f>
        <v>non conforme</v>
      </c>
      <c r="I15" s="2"/>
      <c r="J15" s="2">
        <v>7</v>
      </c>
      <c r="K15" s="2">
        <v>135</v>
      </c>
      <c r="L15" s="2">
        <f t="shared" si="2"/>
        <v>132.30000000000001</v>
      </c>
      <c r="M15" s="2">
        <v>0.37</v>
      </c>
      <c r="N15" s="2">
        <f t="shared" si="6"/>
        <v>131.93</v>
      </c>
      <c r="O15" s="2">
        <f t="shared" si="7"/>
        <v>132.67000000000002</v>
      </c>
      <c r="P15" s="2" t="str">
        <f>IF(AND(N15&gt;130,O15&lt;133),"conforme","non conforme")</f>
        <v>conforme</v>
      </c>
    </row>
    <row r="16" spans="1:16">
      <c r="A16" s="2">
        <v>8</v>
      </c>
      <c r="B16" s="2">
        <v>135</v>
      </c>
      <c r="C16" s="2">
        <v>134</v>
      </c>
      <c r="D16" s="2">
        <v>0.37</v>
      </c>
      <c r="E16" s="2">
        <f t="shared" si="5"/>
        <v>133.63999999999999</v>
      </c>
      <c r="F16" s="2">
        <f t="shared" si="0"/>
        <v>134.37</v>
      </c>
      <c r="G16" s="2" t="str">
        <f t="shared" si="1"/>
        <v>non conforme</v>
      </c>
      <c r="I16" s="2"/>
      <c r="J16" s="2">
        <v>8</v>
      </c>
      <c r="K16" s="2">
        <v>135</v>
      </c>
      <c r="L16" s="2">
        <f t="shared" si="2"/>
        <v>133.5</v>
      </c>
      <c r="M16" s="2">
        <v>0.37</v>
      </c>
      <c r="N16" s="2">
        <f t="shared" si="6"/>
        <v>133.13999999999999</v>
      </c>
      <c r="O16" s="2">
        <f t="shared" si="7"/>
        <v>133.86000000000001</v>
      </c>
      <c r="P16" s="2" t="str">
        <f t="shared" ref="P16:P18" si="8">IF(AND(N16&gt;130,O16&lt;133),"conforme","non conforme")</f>
        <v>non conforme</v>
      </c>
    </row>
    <row r="17" spans="1:16">
      <c r="A17" s="2">
        <v>9</v>
      </c>
      <c r="B17" s="2">
        <v>135</v>
      </c>
      <c r="C17" s="2">
        <v>129.9</v>
      </c>
      <c r="D17" s="2">
        <v>0.36</v>
      </c>
      <c r="E17" s="2">
        <f t="shared" ref="E17:E18" si="9">C17-D18</f>
        <v>129.53</v>
      </c>
      <c r="F17" s="2">
        <f t="shared" si="0"/>
        <v>130.26000000000002</v>
      </c>
      <c r="G17" s="2" t="str">
        <f t="shared" si="1"/>
        <v>non conforme</v>
      </c>
      <c r="I17" s="2"/>
      <c r="J17" s="2">
        <v>9</v>
      </c>
      <c r="K17" s="2">
        <v>135</v>
      </c>
      <c r="L17" s="2">
        <f t="shared" si="2"/>
        <v>129.4</v>
      </c>
      <c r="M17" s="2">
        <v>0.36</v>
      </c>
      <c r="N17" s="2">
        <f t="shared" si="6"/>
        <v>129.03</v>
      </c>
      <c r="O17" s="2">
        <f t="shared" si="7"/>
        <v>129.77000000000001</v>
      </c>
      <c r="P17" s="2" t="str">
        <f t="shared" si="8"/>
        <v>non conforme</v>
      </c>
    </row>
    <row r="18" spans="1:16">
      <c r="A18" s="2">
        <v>10</v>
      </c>
      <c r="B18" s="2">
        <v>135</v>
      </c>
      <c r="C18" s="2">
        <v>130.5</v>
      </c>
      <c r="D18" s="2">
        <v>0.37</v>
      </c>
      <c r="E18" s="2">
        <f t="shared" si="9"/>
        <v>130.5</v>
      </c>
      <c r="F18" s="2">
        <f t="shared" si="0"/>
        <v>130.87</v>
      </c>
      <c r="G18" s="2" t="str">
        <f t="shared" si="1"/>
        <v>conforme</v>
      </c>
      <c r="I18" s="2"/>
      <c r="J18" s="2">
        <v>10</v>
      </c>
      <c r="K18" s="2">
        <v>135</v>
      </c>
      <c r="L18" s="2">
        <f t="shared" si="2"/>
        <v>130</v>
      </c>
      <c r="M18" s="2">
        <v>0.37</v>
      </c>
      <c r="N18" s="2">
        <f t="shared" si="6"/>
        <v>130</v>
      </c>
      <c r="O18" s="2">
        <f t="shared" si="7"/>
        <v>130</v>
      </c>
      <c r="P18" s="2" t="str">
        <f t="shared" si="8"/>
        <v>non conforme</v>
      </c>
    </row>
  </sheetData>
  <mergeCells count="4">
    <mergeCell ref="A1:A4"/>
    <mergeCell ref="C1:F2"/>
    <mergeCell ref="H1:H2"/>
    <mergeCell ref="C3:F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Q17"/>
  <sheetViews>
    <sheetView topLeftCell="A4" workbookViewId="0">
      <selection activeCell="L7" sqref="L7"/>
    </sheetView>
  </sheetViews>
  <sheetFormatPr defaultColWidth="9.140625" defaultRowHeight="15"/>
  <cols>
    <col min="3" max="3" width="10.85546875" bestFit="1" customWidth="1"/>
    <col min="5" max="5" width="18.5703125" customWidth="1"/>
    <col min="6" max="6" width="18.42578125" customWidth="1"/>
    <col min="7" max="7" width="14" customWidth="1"/>
    <col min="13" max="13" width="10.85546875" bestFit="1" customWidth="1"/>
    <col min="15" max="15" width="18.5703125" customWidth="1"/>
    <col min="16" max="16" width="18.42578125" customWidth="1"/>
    <col min="17" max="17" width="14" customWidth="1"/>
  </cols>
  <sheetData>
    <row r="1" spans="1:17" ht="24.75" customHeight="1">
      <c r="A1" s="28" t="s">
        <v>0</v>
      </c>
      <c r="B1" s="31" t="s">
        <v>1</v>
      </c>
      <c r="C1" s="32"/>
      <c r="D1" s="32"/>
      <c r="E1" s="33"/>
      <c r="F1" s="8" t="s">
        <v>2</v>
      </c>
      <c r="G1" s="37" t="s">
        <v>3</v>
      </c>
    </row>
    <row r="2" spans="1:17" ht="16.5" thickBot="1">
      <c r="A2" s="29"/>
      <c r="B2" s="39"/>
      <c r="C2" s="40"/>
      <c r="D2" s="40"/>
      <c r="E2" s="41"/>
      <c r="F2" s="9" t="s">
        <v>4</v>
      </c>
      <c r="G2" s="38"/>
    </row>
    <row r="3" spans="1:17" ht="42.75" customHeight="1">
      <c r="A3" s="29"/>
      <c r="B3" s="31" t="s">
        <v>5</v>
      </c>
      <c r="C3" s="32"/>
      <c r="D3" s="32"/>
      <c r="E3" s="33"/>
      <c r="F3" s="10" t="s">
        <v>6</v>
      </c>
      <c r="G3" s="10" t="s">
        <v>7</v>
      </c>
    </row>
    <row r="4" spans="1:17" ht="21.75" customHeight="1" thickBot="1">
      <c r="A4" s="30"/>
      <c r="B4" s="34"/>
      <c r="C4" s="35"/>
      <c r="D4" s="35"/>
      <c r="E4" s="36"/>
      <c r="F4" s="11">
        <v>42829</v>
      </c>
      <c r="G4" s="9">
        <v>1</v>
      </c>
    </row>
    <row r="7" spans="1:17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L7" s="2"/>
      <c r="M7" s="2"/>
      <c r="N7" s="2"/>
      <c r="O7" s="2"/>
      <c r="P7" s="2"/>
      <c r="Q7" s="2"/>
    </row>
    <row r="8" spans="1:17">
      <c r="A8" s="2">
        <v>1</v>
      </c>
      <c r="B8" s="2">
        <v>135.5</v>
      </c>
      <c r="C8" s="2">
        <v>131.4</v>
      </c>
      <c r="D8" s="2">
        <v>0.42</v>
      </c>
      <c r="E8" s="2">
        <f>C8-D8</f>
        <v>130.98000000000002</v>
      </c>
      <c r="F8" s="2">
        <f>C8+D8</f>
        <v>131.82</v>
      </c>
      <c r="G8" s="2" t="str">
        <f>IF(AND(E8&gt;130,F8&lt;133),"conforme","non conforme")</f>
        <v>conforme</v>
      </c>
      <c r="I8" s="2"/>
      <c r="J8" s="2"/>
      <c r="K8" s="2"/>
      <c r="L8" s="2"/>
      <c r="M8" s="2"/>
      <c r="N8" s="2"/>
      <c r="O8" s="2"/>
      <c r="P8" s="2"/>
      <c r="Q8" s="2"/>
    </row>
    <row r="9" spans="1:17">
      <c r="A9" s="2">
        <v>2</v>
      </c>
      <c r="B9" s="2">
        <v>135.5</v>
      </c>
      <c r="C9" s="2">
        <v>130.69999999999999</v>
      </c>
      <c r="D9" s="2">
        <v>0.54</v>
      </c>
      <c r="E9" s="2">
        <f>C9-D9</f>
        <v>130.16</v>
      </c>
      <c r="F9" s="2">
        <f t="shared" ref="F9" si="0">C9+D9</f>
        <v>131.23999999999998</v>
      </c>
      <c r="G9" s="2" t="str">
        <f t="shared" ref="G9:G17" si="1">IF(AND(E9&gt;130,F9&lt;133),"conforme","non conforme")</f>
        <v>conforme</v>
      </c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>
        <v>3</v>
      </c>
      <c r="B10" s="2">
        <v>135.5</v>
      </c>
      <c r="C10" s="2">
        <v>129.1</v>
      </c>
      <c r="D10" s="2">
        <v>0.49</v>
      </c>
      <c r="E10" s="2">
        <f t="shared" ref="E10:E15" si="2">C10-D11</f>
        <v>128.51999999999998</v>
      </c>
      <c r="F10" s="2">
        <f t="shared" ref="F10:F17" si="3">C10+D11</f>
        <v>129.68</v>
      </c>
      <c r="G10" s="2" t="str">
        <f t="shared" si="1"/>
        <v>non conforme</v>
      </c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>
        <v>4</v>
      </c>
      <c r="B11" s="2">
        <v>135.5</v>
      </c>
      <c r="C11" s="2">
        <v>133.6</v>
      </c>
      <c r="D11" s="2">
        <v>0.57999999999999996</v>
      </c>
      <c r="E11" s="2">
        <f t="shared" si="2"/>
        <v>133.19999999999999</v>
      </c>
      <c r="F11" s="2">
        <f t="shared" si="3"/>
        <v>134</v>
      </c>
      <c r="G11" s="2" t="str">
        <f t="shared" si="1"/>
        <v>non conforme</v>
      </c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>
        <v>5</v>
      </c>
      <c r="B12" s="2">
        <v>135.5</v>
      </c>
      <c r="C12" s="2">
        <v>130.9</v>
      </c>
      <c r="D12" s="2">
        <v>0.4</v>
      </c>
      <c r="E12" s="2">
        <f t="shared" si="2"/>
        <v>130.24</v>
      </c>
      <c r="F12" s="2">
        <f t="shared" si="3"/>
        <v>131.56</v>
      </c>
      <c r="G12" s="2" t="str">
        <f t="shared" si="1"/>
        <v>conforme</v>
      </c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>
        <v>6</v>
      </c>
      <c r="B13" s="2">
        <v>135.5</v>
      </c>
      <c r="C13" s="2">
        <v>128.4</v>
      </c>
      <c r="D13" s="2">
        <v>0.66</v>
      </c>
      <c r="E13" s="2">
        <f t="shared" si="2"/>
        <v>127.96000000000001</v>
      </c>
      <c r="F13" s="2">
        <f t="shared" si="3"/>
        <v>128.84</v>
      </c>
      <c r="G13" s="2" t="str">
        <f t="shared" si="1"/>
        <v>non conforme</v>
      </c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>
        <v>7</v>
      </c>
      <c r="B14" s="2">
        <v>135.5</v>
      </c>
      <c r="C14" s="2">
        <v>132.1</v>
      </c>
      <c r="D14" s="2">
        <v>0.44</v>
      </c>
      <c r="E14" s="2">
        <f t="shared" si="2"/>
        <v>131.44</v>
      </c>
      <c r="F14" s="2">
        <f t="shared" si="3"/>
        <v>132.76</v>
      </c>
      <c r="G14" s="2" t="str">
        <f>IF(AND(E14&gt;130,F14&lt;133),"conforme","non conforme")</f>
        <v>conforme</v>
      </c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>
        <v>8</v>
      </c>
      <c r="B15" s="2">
        <v>135.5</v>
      </c>
      <c r="C15" s="2">
        <v>129.9</v>
      </c>
      <c r="D15" s="2">
        <v>0.66</v>
      </c>
      <c r="E15" s="2">
        <f t="shared" si="2"/>
        <v>129.27000000000001</v>
      </c>
      <c r="F15" s="2">
        <f t="shared" si="3"/>
        <v>130.53</v>
      </c>
      <c r="G15" s="2" t="str">
        <f t="shared" si="1"/>
        <v>non conforme</v>
      </c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>
        <v>9</v>
      </c>
      <c r="B16" s="2">
        <v>135.5</v>
      </c>
      <c r="C16" s="2">
        <v>129.30000000000001</v>
      </c>
      <c r="D16" s="2">
        <v>0.63</v>
      </c>
      <c r="E16" s="2">
        <f t="shared" ref="E16:E17" si="4">C16-D17</f>
        <v>128.69</v>
      </c>
      <c r="F16" s="2">
        <f t="shared" si="3"/>
        <v>129.91000000000003</v>
      </c>
      <c r="G16" s="2" t="str">
        <f t="shared" si="1"/>
        <v>non conforme</v>
      </c>
      <c r="I16" s="2"/>
      <c r="J16" s="2"/>
      <c r="K16" s="2"/>
      <c r="L16" s="2"/>
      <c r="M16" s="2"/>
      <c r="N16" s="2"/>
      <c r="O16" s="2"/>
      <c r="P16" s="2"/>
      <c r="Q16" s="2"/>
    </row>
    <row r="17" spans="1:16">
      <c r="A17" s="2">
        <v>10</v>
      </c>
      <c r="B17" s="2">
        <v>135.5</v>
      </c>
      <c r="C17" s="2">
        <v>130.69999999999999</v>
      </c>
      <c r="D17" s="2">
        <v>0.61</v>
      </c>
      <c r="E17" s="2">
        <f t="shared" si="4"/>
        <v>130.69999999999999</v>
      </c>
      <c r="F17" s="2">
        <f t="shared" si="3"/>
        <v>130.69999999999999</v>
      </c>
      <c r="G17" s="2" t="str">
        <f t="shared" si="1"/>
        <v>conforme</v>
      </c>
      <c r="I17" s="2"/>
      <c r="J17" s="2"/>
      <c r="K17" s="2"/>
      <c r="L17" s="2"/>
      <c r="M17" s="2"/>
      <c r="N17" s="2"/>
      <c r="O17" s="2"/>
      <c r="P17" s="2"/>
    </row>
  </sheetData>
  <mergeCells count="4">
    <mergeCell ref="A1:A4"/>
    <mergeCell ref="G1:G2"/>
    <mergeCell ref="B1:E2"/>
    <mergeCell ref="B3:E4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N30"/>
  <sheetViews>
    <sheetView topLeftCell="A10" workbookViewId="0">
      <selection activeCell="I6" sqref="I6:I14"/>
    </sheetView>
  </sheetViews>
  <sheetFormatPr defaultColWidth="11.42578125" defaultRowHeight="15"/>
  <cols>
    <col min="7" max="7" width="17.7109375" customWidth="1"/>
    <col min="14" max="14" width="17.7109375" customWidth="1"/>
    <col min="17" max="17" width="17.7109375" customWidth="1"/>
  </cols>
  <sheetData>
    <row r="1" spans="1:14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1:14" ht="16.5" thickBot="1">
      <c r="B2" s="43"/>
      <c r="C2" s="29"/>
      <c r="D2" s="40"/>
      <c r="E2" s="40"/>
      <c r="F2" s="40"/>
      <c r="G2" s="9" t="s">
        <v>4</v>
      </c>
      <c r="H2" s="38"/>
    </row>
    <row r="3" spans="1:14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1:14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1:14">
      <c r="B5" t="s">
        <v>15</v>
      </c>
      <c r="C5" t="s">
        <v>16</v>
      </c>
      <c r="D5" t="s">
        <v>11</v>
      </c>
      <c r="E5" t="s">
        <v>17</v>
      </c>
      <c r="F5" t="s">
        <v>18</v>
      </c>
    </row>
    <row r="6" spans="1:14">
      <c r="A6">
        <v>1</v>
      </c>
      <c r="B6">
        <v>44.1</v>
      </c>
      <c r="C6">
        <v>44.7</v>
      </c>
      <c r="D6">
        <v>0.62</v>
      </c>
      <c r="E6">
        <f>C6-D6</f>
        <v>44.080000000000005</v>
      </c>
      <c r="F6">
        <f>C6+D6</f>
        <v>45.32</v>
      </c>
      <c r="G6" t="str">
        <f>IF(AND(E6&gt;=43,F6&lt;=45),"conforme","non conforme")</f>
        <v>non conforme</v>
      </c>
      <c r="I6">
        <f>B6-0.4</f>
        <v>43.7</v>
      </c>
      <c r="J6">
        <f>C6-0.4</f>
        <v>44.300000000000004</v>
      </c>
      <c r="K6">
        <v>0.62</v>
      </c>
      <c r="L6">
        <f>J6-K6</f>
        <v>43.680000000000007</v>
      </c>
      <c r="M6">
        <f>J6+K6</f>
        <v>44.92</v>
      </c>
      <c r="N6" t="str">
        <f>IF(AND(L6&gt;=43,M6&lt;=45),"conforme","non conforme")</f>
        <v>conforme</v>
      </c>
    </row>
    <row r="7" spans="1:14">
      <c r="A7">
        <v>2</v>
      </c>
      <c r="B7">
        <v>44.1</v>
      </c>
      <c r="C7">
        <v>44.5</v>
      </c>
      <c r="D7">
        <v>0.54</v>
      </c>
      <c r="E7">
        <f t="shared" ref="E7:E14" si="0">C7-D7</f>
        <v>43.96</v>
      </c>
      <c r="F7">
        <f>C7+D7</f>
        <v>45.04</v>
      </c>
      <c r="G7" t="str">
        <f>IF(AND(E7&gt;=43,F7&lt;=45),"conforme","non conforme")</f>
        <v>non conforme</v>
      </c>
      <c r="I7">
        <f t="shared" ref="I7:I14" si="1">B7-0.4</f>
        <v>43.7</v>
      </c>
      <c r="J7">
        <f t="shared" ref="J7:J14" si="2">C7-0.4</f>
        <v>44.1</v>
      </c>
      <c r="K7">
        <v>0.54</v>
      </c>
      <c r="L7">
        <f t="shared" ref="L7:L14" si="3">J7-K7</f>
        <v>43.56</v>
      </c>
      <c r="M7">
        <f>J7+K7</f>
        <v>44.64</v>
      </c>
      <c r="N7" t="str">
        <f>IF(AND(L7&gt;=43,M7&lt;=45),"conforme","non conforme")</f>
        <v>conforme</v>
      </c>
    </row>
    <row r="8" spans="1:14">
      <c r="A8">
        <v>3</v>
      </c>
      <c r="B8">
        <v>44.1</v>
      </c>
      <c r="C8">
        <v>44.5</v>
      </c>
      <c r="D8">
        <v>0.54</v>
      </c>
      <c r="E8">
        <f t="shared" si="0"/>
        <v>43.96</v>
      </c>
      <c r="F8">
        <f t="shared" ref="F8:F14" si="4">C8+D8</f>
        <v>45.04</v>
      </c>
      <c r="G8" t="str">
        <f t="shared" ref="G8:G14" si="5">IF(AND(E8&gt;=43,F8&lt;=45),"conforme","non conforme")</f>
        <v>non conforme</v>
      </c>
      <c r="I8">
        <f t="shared" si="1"/>
        <v>43.7</v>
      </c>
      <c r="J8">
        <f t="shared" si="2"/>
        <v>44.1</v>
      </c>
      <c r="K8">
        <v>0.54</v>
      </c>
      <c r="L8">
        <f t="shared" si="3"/>
        <v>43.56</v>
      </c>
      <c r="M8">
        <f t="shared" ref="M8:M14" si="6">J8+K8</f>
        <v>44.64</v>
      </c>
      <c r="N8" t="str">
        <f t="shared" ref="N8:N14" si="7">IF(AND(L8&gt;=43,M8&lt;=45),"conforme","non conforme")</f>
        <v>conforme</v>
      </c>
    </row>
    <row r="9" spans="1:14">
      <c r="A9">
        <v>4</v>
      </c>
      <c r="B9">
        <v>44.1</v>
      </c>
      <c r="C9">
        <v>44.4</v>
      </c>
      <c r="D9">
        <v>0.57999999999999996</v>
      </c>
      <c r="E9">
        <f t="shared" si="0"/>
        <v>43.82</v>
      </c>
      <c r="F9">
        <f t="shared" si="4"/>
        <v>44.98</v>
      </c>
      <c r="G9" t="str">
        <f t="shared" si="5"/>
        <v>conforme</v>
      </c>
      <c r="I9">
        <f t="shared" si="1"/>
        <v>43.7</v>
      </c>
      <c r="J9">
        <f t="shared" si="2"/>
        <v>44</v>
      </c>
      <c r="K9">
        <v>0.57999999999999996</v>
      </c>
      <c r="L9">
        <f t="shared" si="3"/>
        <v>43.42</v>
      </c>
      <c r="M9">
        <f t="shared" si="6"/>
        <v>44.58</v>
      </c>
      <c r="N9" t="str">
        <f t="shared" si="7"/>
        <v>conforme</v>
      </c>
    </row>
    <row r="10" spans="1:14">
      <c r="A10">
        <v>5</v>
      </c>
      <c r="B10">
        <v>44.1</v>
      </c>
      <c r="C10">
        <v>44.2</v>
      </c>
      <c r="D10">
        <v>0.64</v>
      </c>
      <c r="E10">
        <f t="shared" si="0"/>
        <v>43.56</v>
      </c>
      <c r="F10">
        <f t="shared" si="4"/>
        <v>44.84</v>
      </c>
      <c r="G10" t="str">
        <f t="shared" si="5"/>
        <v>conforme</v>
      </c>
      <c r="I10">
        <f t="shared" si="1"/>
        <v>43.7</v>
      </c>
      <c r="J10">
        <f t="shared" si="2"/>
        <v>43.800000000000004</v>
      </c>
      <c r="K10">
        <v>0.64</v>
      </c>
      <c r="L10">
        <f t="shared" si="3"/>
        <v>43.160000000000004</v>
      </c>
      <c r="M10">
        <f t="shared" si="6"/>
        <v>44.440000000000005</v>
      </c>
      <c r="N10" t="str">
        <f t="shared" si="7"/>
        <v>conforme</v>
      </c>
    </row>
    <row r="11" spans="1:14">
      <c r="A11">
        <v>6</v>
      </c>
      <c r="B11">
        <v>44.1</v>
      </c>
      <c r="C11">
        <v>43.8</v>
      </c>
      <c r="D11">
        <v>0.77</v>
      </c>
      <c r="E11">
        <f t="shared" si="0"/>
        <v>43.029999999999994</v>
      </c>
      <c r="F11">
        <f t="shared" si="4"/>
        <v>44.57</v>
      </c>
      <c r="G11" t="str">
        <f t="shared" si="5"/>
        <v>conforme</v>
      </c>
      <c r="I11">
        <f t="shared" si="1"/>
        <v>43.7</v>
      </c>
      <c r="J11">
        <f t="shared" si="2"/>
        <v>43.4</v>
      </c>
      <c r="K11">
        <v>0.77</v>
      </c>
      <c r="L11">
        <f t="shared" si="3"/>
        <v>42.629999999999995</v>
      </c>
      <c r="M11">
        <f t="shared" si="6"/>
        <v>44.17</v>
      </c>
      <c r="N11" t="str">
        <f t="shared" si="7"/>
        <v>non conforme</v>
      </c>
    </row>
    <row r="12" spans="1:14">
      <c r="A12">
        <v>7</v>
      </c>
      <c r="B12">
        <v>44.1</v>
      </c>
      <c r="C12">
        <v>43.7</v>
      </c>
      <c r="D12">
        <v>0.8</v>
      </c>
      <c r="E12">
        <f t="shared" si="0"/>
        <v>42.900000000000006</v>
      </c>
      <c r="F12">
        <f t="shared" si="4"/>
        <v>44.5</v>
      </c>
      <c r="G12" t="str">
        <f t="shared" si="5"/>
        <v>non conforme</v>
      </c>
      <c r="I12">
        <f t="shared" si="1"/>
        <v>43.7</v>
      </c>
      <c r="J12">
        <f t="shared" si="2"/>
        <v>43.300000000000004</v>
      </c>
      <c r="K12">
        <v>0.8</v>
      </c>
      <c r="L12">
        <f t="shared" si="3"/>
        <v>42.500000000000007</v>
      </c>
      <c r="M12">
        <f t="shared" si="6"/>
        <v>44.1</v>
      </c>
      <c r="N12" t="str">
        <f t="shared" si="7"/>
        <v>non conforme</v>
      </c>
    </row>
    <row r="13" spans="1:14">
      <c r="A13">
        <v>8</v>
      </c>
      <c r="B13">
        <v>44.1</v>
      </c>
      <c r="C13">
        <v>43.3</v>
      </c>
      <c r="D13">
        <v>0.65</v>
      </c>
      <c r="E13">
        <f t="shared" si="0"/>
        <v>42.65</v>
      </c>
      <c r="F13">
        <f t="shared" si="4"/>
        <v>43.949999999999996</v>
      </c>
      <c r="G13" t="str">
        <f t="shared" si="5"/>
        <v>non conforme</v>
      </c>
      <c r="I13">
        <f t="shared" si="1"/>
        <v>43.7</v>
      </c>
      <c r="J13">
        <f t="shared" si="2"/>
        <v>42.9</v>
      </c>
      <c r="K13">
        <v>0.65</v>
      </c>
      <c r="L13">
        <f t="shared" si="3"/>
        <v>42.25</v>
      </c>
      <c r="M13">
        <f t="shared" si="6"/>
        <v>43.55</v>
      </c>
      <c r="N13" t="str">
        <f t="shared" si="7"/>
        <v>non conforme</v>
      </c>
    </row>
    <row r="14" spans="1:14">
      <c r="A14">
        <v>9</v>
      </c>
      <c r="B14">
        <v>44.1</v>
      </c>
      <c r="C14">
        <v>43.4</v>
      </c>
      <c r="D14">
        <v>0.66</v>
      </c>
      <c r="E14">
        <f t="shared" si="0"/>
        <v>42.74</v>
      </c>
      <c r="F14">
        <f t="shared" si="4"/>
        <v>44.059999999999995</v>
      </c>
      <c r="G14" t="str">
        <f t="shared" si="5"/>
        <v>non conforme</v>
      </c>
      <c r="I14">
        <f t="shared" si="1"/>
        <v>43.7</v>
      </c>
      <c r="J14">
        <f t="shared" si="2"/>
        <v>43</v>
      </c>
      <c r="K14">
        <v>0.66</v>
      </c>
      <c r="L14">
        <f t="shared" si="3"/>
        <v>42.34</v>
      </c>
      <c r="M14">
        <f t="shared" si="6"/>
        <v>43.66</v>
      </c>
      <c r="N14" t="str">
        <f t="shared" si="7"/>
        <v>non conforme</v>
      </c>
    </row>
    <row r="18" spans="5:8">
      <c r="F18" s="19">
        <v>1</v>
      </c>
      <c r="H18">
        <v>2</v>
      </c>
    </row>
    <row r="21" spans="5:8">
      <c r="E21">
        <v>4</v>
      </c>
      <c r="H21" s="3">
        <v>3</v>
      </c>
    </row>
    <row r="25" spans="5:8">
      <c r="F25" s="42">
        <v>5</v>
      </c>
      <c r="G25" s="42"/>
    </row>
    <row r="27" spans="5:8">
      <c r="F27" s="4">
        <v>6</v>
      </c>
      <c r="H27">
        <v>7</v>
      </c>
    </row>
    <row r="30" spans="5:8">
      <c r="E30" s="4">
        <v>9</v>
      </c>
      <c r="H30">
        <v>8</v>
      </c>
    </row>
  </sheetData>
  <mergeCells count="5">
    <mergeCell ref="F25:G25"/>
    <mergeCell ref="B1:B4"/>
    <mergeCell ref="C1:F2"/>
    <mergeCell ref="H1:H2"/>
    <mergeCell ref="C3:F4"/>
  </mergeCells>
  <conditionalFormatting sqref="E6:E14">
    <cfRule type="cellIs" dxfId="23" priority="8" operator="lessThan">
      <formula>43</formula>
    </cfRule>
    <cfRule type="cellIs" dxfId="22" priority="9" operator="lessThan">
      <formula>1</formula>
    </cfRule>
  </conditionalFormatting>
  <conditionalFormatting sqref="F6:F14">
    <cfRule type="cellIs" dxfId="21" priority="7" operator="greaterThan">
      <formula>45</formula>
    </cfRule>
  </conditionalFormatting>
  <conditionalFormatting sqref="O7:O15">
    <cfRule type="cellIs" dxfId="20" priority="5" operator="lessThan">
      <formula>43</formula>
    </cfRule>
    <cfRule type="cellIs" dxfId="19" priority="6" operator="lessThan">
      <formula>1</formula>
    </cfRule>
  </conditionalFormatting>
  <conditionalFormatting sqref="P7:P15">
    <cfRule type="cellIs" dxfId="18" priority="4" operator="greaterThan">
      <formula>45</formula>
    </cfRule>
  </conditionalFormatting>
  <conditionalFormatting sqref="L6:L14">
    <cfRule type="cellIs" dxfId="17" priority="2" operator="lessThan">
      <formula>43</formula>
    </cfRule>
    <cfRule type="cellIs" dxfId="16" priority="3" operator="lessThan">
      <formula>1</formula>
    </cfRule>
  </conditionalFormatting>
  <conditionalFormatting sqref="M6:M14">
    <cfRule type="cellIs" dxfId="15" priority="1" operator="greaterThan">
      <formula>45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I30"/>
  <sheetViews>
    <sheetView topLeftCell="A7" workbookViewId="0">
      <selection activeCell="J29" sqref="J29"/>
    </sheetView>
  </sheetViews>
  <sheetFormatPr defaultColWidth="11.42578125" defaultRowHeight="15"/>
  <cols>
    <col min="7" max="7" width="17.140625" customWidth="1"/>
  </cols>
  <sheetData>
    <row r="1" spans="1:8" ht="15.75">
      <c r="B1" s="31" t="s">
        <v>0</v>
      </c>
      <c r="C1" s="31" t="s">
        <v>1</v>
      </c>
      <c r="D1" s="32"/>
      <c r="E1" s="32"/>
      <c r="F1" s="33"/>
      <c r="G1" s="12" t="s">
        <v>2</v>
      </c>
      <c r="H1" s="44" t="s">
        <v>3</v>
      </c>
    </row>
    <row r="2" spans="1:8" ht="16.5" thickBot="1">
      <c r="B2" s="39"/>
      <c r="C2" s="34"/>
      <c r="D2" s="35"/>
      <c r="E2" s="35"/>
      <c r="F2" s="36"/>
      <c r="G2" s="13" t="s">
        <v>4</v>
      </c>
      <c r="H2" s="45"/>
    </row>
    <row r="3" spans="1:8" ht="15.75">
      <c r="B3" s="39"/>
      <c r="C3" s="31" t="s">
        <v>5</v>
      </c>
      <c r="D3" s="32"/>
      <c r="E3" s="32"/>
      <c r="F3" s="33"/>
      <c r="G3" s="14" t="s">
        <v>6</v>
      </c>
      <c r="H3" s="10" t="s">
        <v>7</v>
      </c>
    </row>
    <row r="4" spans="1:8" ht="16.5" thickBot="1">
      <c r="B4" s="34"/>
      <c r="C4" s="34"/>
      <c r="D4" s="35"/>
      <c r="E4" s="35"/>
      <c r="F4" s="36"/>
      <c r="G4" s="15">
        <v>42829</v>
      </c>
      <c r="H4" s="9">
        <v>1</v>
      </c>
    </row>
    <row r="7" spans="1:8">
      <c r="B7" t="s">
        <v>15</v>
      </c>
      <c r="C7" t="s">
        <v>16</v>
      </c>
      <c r="D7" t="s">
        <v>11</v>
      </c>
      <c r="E7" t="s">
        <v>17</v>
      </c>
      <c r="F7" t="s">
        <v>18</v>
      </c>
      <c r="G7" t="s">
        <v>19</v>
      </c>
    </row>
    <row r="8" spans="1:8">
      <c r="A8">
        <v>1</v>
      </c>
      <c r="B8">
        <v>41.5</v>
      </c>
      <c r="C8">
        <v>41.8</v>
      </c>
      <c r="D8">
        <v>0.43</v>
      </c>
      <c r="E8" s="2">
        <f>C8-D8</f>
        <v>41.37</v>
      </c>
      <c r="F8" s="2">
        <f>C8+D8</f>
        <v>42.23</v>
      </c>
      <c r="G8" t="str">
        <f>IF(AND(E8&gt;40.5,F8&lt;42.5),"conforme","non conforme")</f>
        <v>conforme</v>
      </c>
    </row>
    <row r="9" spans="1:8">
      <c r="A9">
        <v>2</v>
      </c>
      <c r="B9">
        <v>41.5</v>
      </c>
      <c r="C9">
        <v>41.7</v>
      </c>
      <c r="D9">
        <v>0.45</v>
      </c>
      <c r="E9" s="2">
        <f t="shared" ref="E9:E16" si="0">C9-D9</f>
        <v>41.25</v>
      </c>
      <c r="F9" s="2">
        <f t="shared" ref="F9:F16" si="1">C9+D9</f>
        <v>42.150000000000006</v>
      </c>
      <c r="G9" t="str">
        <f t="shared" ref="G9:G16" si="2">IF(AND(E9&gt;40.5,F9&lt;42.5),"conforme","non conforme")</f>
        <v>conforme</v>
      </c>
    </row>
    <row r="10" spans="1:8">
      <c r="A10">
        <v>3</v>
      </c>
      <c r="B10">
        <v>41.5</v>
      </c>
      <c r="C10">
        <v>41.6</v>
      </c>
      <c r="D10">
        <v>0.43</v>
      </c>
      <c r="E10" s="2">
        <f t="shared" si="0"/>
        <v>41.17</v>
      </c>
      <c r="F10" s="2">
        <f t="shared" si="1"/>
        <v>42.03</v>
      </c>
      <c r="G10" t="str">
        <f t="shared" si="2"/>
        <v>conforme</v>
      </c>
    </row>
    <row r="11" spans="1:8">
      <c r="A11">
        <v>4</v>
      </c>
      <c r="B11">
        <v>41.5</v>
      </c>
      <c r="C11">
        <v>41.6</v>
      </c>
      <c r="D11">
        <v>0.44</v>
      </c>
      <c r="E11" s="2">
        <f t="shared" si="0"/>
        <v>41.160000000000004</v>
      </c>
      <c r="F11" s="2">
        <f t="shared" si="1"/>
        <v>42.04</v>
      </c>
      <c r="G11" t="str">
        <f t="shared" si="2"/>
        <v>conforme</v>
      </c>
    </row>
    <row r="12" spans="1:8">
      <c r="A12">
        <v>5</v>
      </c>
      <c r="B12">
        <v>41.5</v>
      </c>
      <c r="C12">
        <v>41.2</v>
      </c>
      <c r="D12">
        <v>0.46</v>
      </c>
      <c r="E12" s="2">
        <f t="shared" si="0"/>
        <v>40.74</v>
      </c>
      <c r="F12" s="2">
        <f t="shared" si="1"/>
        <v>41.660000000000004</v>
      </c>
      <c r="G12" t="str">
        <f t="shared" si="2"/>
        <v>conforme</v>
      </c>
    </row>
    <row r="13" spans="1:8">
      <c r="A13">
        <v>6</v>
      </c>
      <c r="B13">
        <v>41.5</v>
      </c>
      <c r="C13">
        <v>41</v>
      </c>
      <c r="D13">
        <v>0.55000000000000004</v>
      </c>
      <c r="E13" s="2">
        <f t="shared" si="0"/>
        <v>40.450000000000003</v>
      </c>
      <c r="F13" s="2">
        <f t="shared" si="1"/>
        <v>41.55</v>
      </c>
      <c r="G13" t="str">
        <f t="shared" si="2"/>
        <v>non conforme</v>
      </c>
    </row>
    <row r="14" spans="1:8">
      <c r="A14">
        <v>7</v>
      </c>
      <c r="B14">
        <v>41.5</v>
      </c>
      <c r="C14">
        <v>40.9</v>
      </c>
      <c r="D14">
        <v>0.51</v>
      </c>
      <c r="E14" s="2">
        <f t="shared" si="0"/>
        <v>40.39</v>
      </c>
      <c r="F14" s="2">
        <f t="shared" si="1"/>
        <v>41.41</v>
      </c>
      <c r="G14" t="str">
        <f t="shared" si="2"/>
        <v>non conforme</v>
      </c>
    </row>
    <row r="15" spans="1:8">
      <c r="A15">
        <v>8</v>
      </c>
      <c r="B15">
        <v>41.5</v>
      </c>
      <c r="C15">
        <v>40.799999999999997</v>
      </c>
      <c r="D15">
        <v>0.48</v>
      </c>
      <c r="E15" s="2">
        <f t="shared" si="0"/>
        <v>40.32</v>
      </c>
      <c r="F15" s="2">
        <f t="shared" si="1"/>
        <v>41.279999999999994</v>
      </c>
      <c r="G15" t="str">
        <f t="shared" si="2"/>
        <v>non conforme</v>
      </c>
    </row>
    <row r="16" spans="1:8">
      <c r="A16">
        <v>9</v>
      </c>
      <c r="B16">
        <v>41.5</v>
      </c>
      <c r="C16">
        <v>40.9</v>
      </c>
      <c r="D16">
        <v>0.51</v>
      </c>
      <c r="E16" s="2">
        <f t="shared" si="0"/>
        <v>40.39</v>
      </c>
      <c r="F16" s="2">
        <f t="shared" si="1"/>
        <v>41.41</v>
      </c>
      <c r="G16" t="str">
        <f t="shared" si="2"/>
        <v>non conforme</v>
      </c>
    </row>
    <row r="18" spans="5:9">
      <c r="F18" s="5">
        <v>1</v>
      </c>
      <c r="H18">
        <v>2</v>
      </c>
      <c r="I18" t="s">
        <v>20</v>
      </c>
    </row>
    <row r="21" spans="5:9">
      <c r="E21">
        <v>4</v>
      </c>
      <c r="H21" s="3">
        <v>3</v>
      </c>
    </row>
    <row r="25" spans="5:9">
      <c r="F25" s="42">
        <v>5</v>
      </c>
      <c r="G25" s="42"/>
    </row>
    <row r="27" spans="5:9">
      <c r="F27" s="4">
        <v>6</v>
      </c>
      <c r="H27" s="17">
        <v>7</v>
      </c>
    </row>
    <row r="30" spans="5:9">
      <c r="E30" s="18">
        <v>9</v>
      </c>
      <c r="H30" s="17">
        <v>8</v>
      </c>
    </row>
  </sheetData>
  <mergeCells count="5">
    <mergeCell ref="F25:G25"/>
    <mergeCell ref="B1:B4"/>
    <mergeCell ref="C1:F2"/>
    <mergeCell ref="H1:H2"/>
    <mergeCell ref="C3:F4"/>
  </mergeCells>
  <conditionalFormatting sqref="E8:E16">
    <cfRule type="cellIs" dxfId="14" priority="2" operator="lessThan">
      <formula>36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J30"/>
  <sheetViews>
    <sheetView workbookViewId="0">
      <selection activeCell="D6" sqref="D6"/>
    </sheetView>
  </sheetViews>
  <sheetFormatPr defaultColWidth="11.42578125" defaultRowHeight="15"/>
  <cols>
    <col min="7" max="7" width="11.5703125" customWidth="1"/>
  </cols>
  <sheetData>
    <row r="1" spans="1:10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1:10" ht="16.5" thickBot="1">
      <c r="B2" s="43"/>
      <c r="C2" s="29"/>
      <c r="D2" s="40"/>
      <c r="E2" s="40"/>
      <c r="F2" s="40"/>
      <c r="G2" s="9" t="s">
        <v>4</v>
      </c>
      <c r="H2" s="38"/>
    </row>
    <row r="3" spans="1:10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1:10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1:10" ht="15.75">
      <c r="B5" t="s">
        <v>15</v>
      </c>
      <c r="C5" t="s">
        <v>16</v>
      </c>
      <c r="D5" t="s">
        <v>11</v>
      </c>
      <c r="E5" t="s">
        <v>17</v>
      </c>
      <c r="F5" t="s">
        <v>18</v>
      </c>
      <c r="G5" s="10" t="s">
        <v>14</v>
      </c>
    </row>
    <row r="6" spans="1:10">
      <c r="A6">
        <v>1</v>
      </c>
      <c r="B6">
        <v>30</v>
      </c>
      <c r="C6">
        <v>29.9</v>
      </c>
      <c r="D6">
        <v>0.4</v>
      </c>
      <c r="E6">
        <f>C6-D6</f>
        <v>29.5</v>
      </c>
      <c r="F6">
        <f>C6+D6</f>
        <v>30.299999999999997</v>
      </c>
      <c r="G6" t="str">
        <f>IF(AND(E6&gt;29,F6&lt;31),"conforme","non conforme")</f>
        <v>conforme</v>
      </c>
    </row>
    <row r="7" spans="1:10">
      <c r="A7">
        <v>2</v>
      </c>
      <c r="B7">
        <v>30</v>
      </c>
      <c r="C7">
        <v>29.9</v>
      </c>
      <c r="D7">
        <v>0.4</v>
      </c>
      <c r="E7">
        <f t="shared" ref="E7:E14" si="0">C7-D7</f>
        <v>29.5</v>
      </c>
      <c r="F7">
        <f t="shared" ref="F7:F14" si="1">C7+D7</f>
        <v>30.299999999999997</v>
      </c>
      <c r="G7" t="str">
        <f t="shared" ref="G7:G14" si="2">IF(AND(E7&gt;29,F7&lt;31),"conforme","non conforme")</f>
        <v>conforme</v>
      </c>
    </row>
    <row r="8" spans="1:10">
      <c r="A8">
        <v>3</v>
      </c>
      <c r="B8">
        <v>30</v>
      </c>
      <c r="C8">
        <v>29.9</v>
      </c>
      <c r="D8">
        <v>0.38</v>
      </c>
      <c r="E8">
        <f t="shared" si="0"/>
        <v>29.52</v>
      </c>
      <c r="F8">
        <f t="shared" si="1"/>
        <v>30.279999999999998</v>
      </c>
      <c r="G8" t="str">
        <f t="shared" si="2"/>
        <v>conforme</v>
      </c>
      <c r="H8" s="46" t="s">
        <v>21</v>
      </c>
      <c r="I8" s="46"/>
      <c r="J8" s="46"/>
    </row>
    <row r="9" spans="1:10">
      <c r="A9">
        <v>4</v>
      </c>
      <c r="B9">
        <v>30</v>
      </c>
      <c r="C9">
        <v>30</v>
      </c>
      <c r="D9">
        <v>0.37</v>
      </c>
      <c r="E9">
        <f t="shared" si="0"/>
        <v>29.63</v>
      </c>
      <c r="F9">
        <f t="shared" si="1"/>
        <v>30.37</v>
      </c>
      <c r="G9" t="str">
        <f t="shared" si="2"/>
        <v>conforme</v>
      </c>
      <c r="H9" s="46"/>
      <c r="I9" s="46"/>
      <c r="J9" s="46"/>
    </row>
    <row r="10" spans="1:10">
      <c r="A10">
        <v>5</v>
      </c>
      <c r="B10">
        <v>30</v>
      </c>
      <c r="C10">
        <v>29.8</v>
      </c>
      <c r="D10">
        <v>0.38</v>
      </c>
      <c r="E10">
        <f t="shared" si="0"/>
        <v>29.42</v>
      </c>
      <c r="F10">
        <f t="shared" si="1"/>
        <v>30.18</v>
      </c>
      <c r="G10" t="str">
        <f t="shared" si="2"/>
        <v>conforme</v>
      </c>
      <c r="H10" s="46"/>
      <c r="I10" s="46"/>
      <c r="J10" s="46"/>
    </row>
    <row r="11" spans="1:10">
      <c r="A11">
        <v>6</v>
      </c>
      <c r="B11">
        <v>30</v>
      </c>
      <c r="C11">
        <v>29.7</v>
      </c>
      <c r="D11">
        <v>0.41</v>
      </c>
      <c r="E11">
        <f t="shared" si="0"/>
        <v>29.29</v>
      </c>
      <c r="F11">
        <f t="shared" si="1"/>
        <v>30.11</v>
      </c>
      <c r="G11" t="str">
        <f t="shared" si="2"/>
        <v>conforme</v>
      </c>
    </row>
    <row r="12" spans="1:10">
      <c r="A12">
        <v>7</v>
      </c>
      <c r="B12">
        <v>30</v>
      </c>
      <c r="C12">
        <v>29.8</v>
      </c>
      <c r="D12">
        <v>0.36</v>
      </c>
      <c r="E12">
        <f t="shared" si="0"/>
        <v>29.44</v>
      </c>
      <c r="F12">
        <f t="shared" si="1"/>
        <v>30.16</v>
      </c>
      <c r="G12" t="str">
        <f t="shared" si="2"/>
        <v>conforme</v>
      </c>
    </row>
    <row r="13" spans="1:10">
      <c r="A13">
        <v>8</v>
      </c>
      <c r="B13">
        <v>30</v>
      </c>
      <c r="C13">
        <v>29.7</v>
      </c>
      <c r="D13">
        <v>0.38</v>
      </c>
      <c r="E13">
        <f t="shared" si="0"/>
        <v>29.32</v>
      </c>
      <c r="F13">
        <f t="shared" si="1"/>
        <v>30.08</v>
      </c>
      <c r="G13" t="str">
        <f t="shared" si="2"/>
        <v>conforme</v>
      </c>
    </row>
    <row r="14" spans="1:10">
      <c r="A14">
        <v>9</v>
      </c>
      <c r="B14">
        <v>30</v>
      </c>
      <c r="C14">
        <v>29.7</v>
      </c>
      <c r="D14">
        <v>0.4</v>
      </c>
      <c r="E14">
        <f t="shared" si="0"/>
        <v>29.3</v>
      </c>
      <c r="F14">
        <f t="shared" si="1"/>
        <v>30.099999999999998</v>
      </c>
      <c r="G14" t="str">
        <f t="shared" si="2"/>
        <v>conforme</v>
      </c>
    </row>
    <row r="18" spans="5:8">
      <c r="F18" s="5">
        <v>1</v>
      </c>
      <c r="H18">
        <v>2</v>
      </c>
    </row>
    <row r="21" spans="5:8">
      <c r="E21">
        <v>4</v>
      </c>
      <c r="H21" s="3">
        <v>3</v>
      </c>
    </row>
    <row r="25" spans="5:8">
      <c r="F25" s="42">
        <v>5</v>
      </c>
      <c r="G25" s="42"/>
    </row>
    <row r="27" spans="5:8">
      <c r="F27" s="4">
        <v>7</v>
      </c>
      <c r="H27" s="2">
        <v>8</v>
      </c>
    </row>
    <row r="30" spans="5:8">
      <c r="E30" s="6">
        <v>10</v>
      </c>
      <c r="H30" s="2">
        <v>9</v>
      </c>
    </row>
  </sheetData>
  <mergeCells count="6">
    <mergeCell ref="F25:G25"/>
    <mergeCell ref="H8:J10"/>
    <mergeCell ref="B1:B4"/>
    <mergeCell ref="C1:F2"/>
    <mergeCell ref="H1:H2"/>
    <mergeCell ref="C3:F4"/>
  </mergeCells>
  <conditionalFormatting sqref="E6:E14">
    <cfRule type="cellIs" dxfId="13" priority="2" operator="lessThan">
      <formula>29</formula>
    </cfRule>
  </conditionalFormatting>
  <conditionalFormatting sqref="F6:F14">
    <cfRule type="cellIs" dxfId="12" priority="1" operator="greaterThan">
      <formula>31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J30"/>
  <sheetViews>
    <sheetView workbookViewId="0">
      <selection activeCell="D6" sqref="D6"/>
    </sheetView>
  </sheetViews>
  <sheetFormatPr defaultColWidth="11.42578125" defaultRowHeight="15"/>
  <cols>
    <col min="7" max="7" width="11.5703125" customWidth="1"/>
  </cols>
  <sheetData>
    <row r="1" spans="1:10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1:10" ht="16.5" thickBot="1">
      <c r="B2" s="43"/>
      <c r="C2" s="29"/>
      <c r="D2" s="40"/>
      <c r="E2" s="40"/>
      <c r="F2" s="40"/>
      <c r="G2" s="9" t="s">
        <v>4</v>
      </c>
      <c r="H2" s="38"/>
    </row>
    <row r="3" spans="1:10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1:10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1:10" ht="15.75">
      <c r="B5" t="s">
        <v>15</v>
      </c>
      <c r="C5" t="s">
        <v>16</v>
      </c>
      <c r="D5" t="s">
        <v>11</v>
      </c>
      <c r="E5" t="s">
        <v>17</v>
      </c>
      <c r="F5" t="s">
        <v>18</v>
      </c>
      <c r="G5" s="10" t="s">
        <v>14</v>
      </c>
    </row>
    <row r="6" spans="1:10">
      <c r="A6">
        <v>1</v>
      </c>
      <c r="B6">
        <v>25</v>
      </c>
      <c r="C6">
        <v>24.9</v>
      </c>
      <c r="D6">
        <v>0.36</v>
      </c>
      <c r="E6">
        <f>C6-D6</f>
        <v>24.54</v>
      </c>
      <c r="F6">
        <f>C6+D6</f>
        <v>25.259999999999998</v>
      </c>
      <c r="G6" t="str">
        <f>IF(AND(E6&gt;24,F6&lt;26),"conforme","non conforme")</f>
        <v>conforme</v>
      </c>
    </row>
    <row r="7" spans="1:10">
      <c r="A7">
        <v>2</v>
      </c>
      <c r="B7">
        <v>25</v>
      </c>
      <c r="C7">
        <v>24.7</v>
      </c>
      <c r="D7">
        <v>0.35</v>
      </c>
      <c r="E7">
        <f t="shared" ref="E7:E14" si="0">C7-D7</f>
        <v>24.349999999999998</v>
      </c>
      <c r="F7">
        <f t="shared" ref="F7:F14" si="1">C7+D7</f>
        <v>25.05</v>
      </c>
      <c r="G7" t="str">
        <f t="shared" ref="G7:G14" si="2">IF(AND(E7&gt;24,F7&lt;26),"conforme","non conforme")</f>
        <v>conforme</v>
      </c>
    </row>
    <row r="8" spans="1:10">
      <c r="A8">
        <v>3</v>
      </c>
      <c r="B8">
        <v>25</v>
      </c>
      <c r="C8">
        <v>24.6</v>
      </c>
      <c r="D8">
        <v>0.36</v>
      </c>
      <c r="E8">
        <f t="shared" si="0"/>
        <v>24.240000000000002</v>
      </c>
      <c r="F8">
        <f t="shared" si="1"/>
        <v>24.96</v>
      </c>
      <c r="G8" t="str">
        <f t="shared" si="2"/>
        <v>conforme</v>
      </c>
      <c r="H8" s="46" t="s">
        <v>21</v>
      </c>
      <c r="I8" s="46"/>
      <c r="J8" s="46"/>
    </row>
    <row r="9" spans="1:10">
      <c r="A9">
        <v>4</v>
      </c>
      <c r="B9">
        <v>25</v>
      </c>
      <c r="C9">
        <v>24.5</v>
      </c>
      <c r="D9">
        <v>0.36</v>
      </c>
      <c r="E9">
        <f t="shared" si="0"/>
        <v>24.14</v>
      </c>
      <c r="F9">
        <f t="shared" si="1"/>
        <v>24.86</v>
      </c>
      <c r="G9" t="str">
        <f t="shared" si="2"/>
        <v>conforme</v>
      </c>
      <c r="H9" s="46"/>
      <c r="I9" s="46"/>
      <c r="J9" s="46"/>
    </row>
    <row r="10" spans="1:10">
      <c r="A10">
        <v>5</v>
      </c>
      <c r="B10">
        <v>25</v>
      </c>
      <c r="C10">
        <v>24.6</v>
      </c>
      <c r="D10">
        <v>0.35</v>
      </c>
      <c r="E10">
        <f t="shared" si="0"/>
        <v>24.25</v>
      </c>
      <c r="F10">
        <f t="shared" si="1"/>
        <v>24.950000000000003</v>
      </c>
      <c r="G10" t="str">
        <f t="shared" si="2"/>
        <v>conforme</v>
      </c>
      <c r="H10" s="46"/>
      <c r="I10" s="46"/>
      <c r="J10" s="46"/>
    </row>
    <row r="11" spans="1:10">
      <c r="A11">
        <v>6</v>
      </c>
      <c r="B11">
        <v>25</v>
      </c>
      <c r="C11">
        <v>24.6</v>
      </c>
      <c r="D11">
        <v>0.36</v>
      </c>
      <c r="E11">
        <f t="shared" si="0"/>
        <v>24.240000000000002</v>
      </c>
      <c r="F11">
        <f t="shared" si="1"/>
        <v>24.96</v>
      </c>
      <c r="G11" t="str">
        <f t="shared" si="2"/>
        <v>conforme</v>
      </c>
    </row>
    <row r="12" spans="1:10">
      <c r="A12">
        <v>7</v>
      </c>
      <c r="B12">
        <v>25</v>
      </c>
      <c r="C12">
        <v>24.4</v>
      </c>
      <c r="D12">
        <v>0.36</v>
      </c>
      <c r="E12">
        <f t="shared" si="0"/>
        <v>24.04</v>
      </c>
      <c r="F12">
        <f t="shared" si="1"/>
        <v>24.759999999999998</v>
      </c>
      <c r="G12" t="str">
        <f t="shared" si="2"/>
        <v>conforme</v>
      </c>
    </row>
    <row r="13" spans="1:10">
      <c r="A13">
        <v>8</v>
      </c>
      <c r="B13">
        <v>25</v>
      </c>
      <c r="C13">
        <v>24.5</v>
      </c>
      <c r="D13">
        <v>0.36</v>
      </c>
      <c r="E13">
        <f t="shared" si="0"/>
        <v>24.14</v>
      </c>
      <c r="F13">
        <f t="shared" si="1"/>
        <v>24.86</v>
      </c>
      <c r="G13" t="str">
        <f t="shared" si="2"/>
        <v>conforme</v>
      </c>
    </row>
    <row r="14" spans="1:10">
      <c r="A14">
        <v>9</v>
      </c>
      <c r="B14">
        <v>25</v>
      </c>
      <c r="C14">
        <v>25.1</v>
      </c>
      <c r="D14">
        <v>0.36</v>
      </c>
      <c r="E14">
        <f t="shared" si="0"/>
        <v>24.740000000000002</v>
      </c>
      <c r="F14">
        <f t="shared" si="1"/>
        <v>25.46</v>
      </c>
      <c r="G14" t="str">
        <f t="shared" si="2"/>
        <v>conforme</v>
      </c>
    </row>
    <row r="18" spans="5:8">
      <c r="F18" s="5">
        <v>2</v>
      </c>
      <c r="H18">
        <v>1</v>
      </c>
    </row>
    <row r="21" spans="5:8">
      <c r="E21">
        <v>4</v>
      </c>
      <c r="H21" s="3">
        <v>3</v>
      </c>
    </row>
    <row r="25" spans="5:8">
      <c r="F25" s="42">
        <v>5</v>
      </c>
      <c r="G25" s="42"/>
    </row>
    <row r="27" spans="5:8">
      <c r="F27" s="4">
        <v>6</v>
      </c>
      <c r="H27" s="2">
        <v>7</v>
      </c>
    </row>
    <row r="30" spans="5:8">
      <c r="E30" s="6">
        <v>9</v>
      </c>
      <c r="H30" s="2">
        <v>8</v>
      </c>
    </row>
  </sheetData>
  <mergeCells count="6">
    <mergeCell ref="F25:G25"/>
    <mergeCell ref="H8:J10"/>
    <mergeCell ref="B1:B4"/>
    <mergeCell ref="C1:F2"/>
    <mergeCell ref="H1:H2"/>
    <mergeCell ref="C3:F4"/>
  </mergeCells>
  <conditionalFormatting sqref="E6:E14">
    <cfRule type="cellIs" dxfId="11" priority="3" operator="lessThan">
      <formula>24</formula>
    </cfRule>
    <cfRule type="cellIs" dxfId="10" priority="4" operator="lessThan">
      <formula>24</formula>
    </cfRule>
  </conditionalFormatting>
  <conditionalFormatting sqref="F6:F14">
    <cfRule type="cellIs" dxfId="9" priority="1" operator="greaterThan">
      <formula>26</formula>
    </cfRule>
    <cfRule type="cellIs" dxfId="8" priority="2" operator="greaterThan">
      <formula>31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O43"/>
  <sheetViews>
    <sheetView topLeftCell="A4" workbookViewId="0">
      <selection activeCell="K26" sqref="K26"/>
    </sheetView>
  </sheetViews>
  <sheetFormatPr defaultColWidth="11.42578125" defaultRowHeight="15"/>
  <cols>
    <col min="7" max="7" width="16.28515625" customWidth="1"/>
  </cols>
  <sheetData>
    <row r="1" spans="1:15" ht="15.75">
      <c r="C1" s="37" t="s">
        <v>0</v>
      </c>
      <c r="D1" s="29" t="s">
        <v>1</v>
      </c>
      <c r="E1" s="40"/>
      <c r="F1" s="40"/>
      <c r="G1" s="40"/>
      <c r="H1" s="8" t="s">
        <v>2</v>
      </c>
      <c r="I1" s="37" t="s">
        <v>3</v>
      </c>
    </row>
    <row r="2" spans="1:15" ht="16.5" thickBot="1">
      <c r="C2" s="43"/>
      <c r="D2" s="29"/>
      <c r="E2" s="40"/>
      <c r="F2" s="40"/>
      <c r="G2" s="40"/>
      <c r="H2" s="9" t="s">
        <v>4</v>
      </c>
      <c r="I2" s="38"/>
    </row>
    <row r="3" spans="1:15" ht="15.75">
      <c r="C3" s="43"/>
      <c r="D3" s="29" t="s">
        <v>5</v>
      </c>
      <c r="E3" s="40"/>
      <c r="F3" s="40"/>
      <c r="G3" s="40"/>
      <c r="H3" s="10" t="s">
        <v>6</v>
      </c>
      <c r="I3" s="10" t="s">
        <v>7</v>
      </c>
    </row>
    <row r="4" spans="1:15" ht="16.5" thickBot="1">
      <c r="C4" s="38"/>
      <c r="D4" s="29"/>
      <c r="E4" s="40"/>
      <c r="F4" s="40"/>
      <c r="G4" s="40"/>
      <c r="H4" s="11">
        <v>42829</v>
      </c>
      <c r="I4" s="9">
        <v>1</v>
      </c>
    </row>
    <row r="5" spans="1:15">
      <c r="C5" s="47">
        <v>2021</v>
      </c>
      <c r="D5" s="47"/>
      <c r="E5" s="47"/>
      <c r="F5" s="47"/>
      <c r="G5" s="47"/>
    </row>
    <row r="6" spans="1:15">
      <c r="B6" t="s">
        <v>15</v>
      </c>
      <c r="C6" t="s">
        <v>16</v>
      </c>
      <c r="D6" t="s">
        <v>11</v>
      </c>
      <c r="E6" t="s">
        <v>17</v>
      </c>
      <c r="F6" t="s">
        <v>18</v>
      </c>
      <c r="G6" t="s">
        <v>14</v>
      </c>
      <c r="H6" s="7"/>
    </row>
    <row r="7" spans="1:15">
      <c r="A7">
        <v>1</v>
      </c>
      <c r="C7">
        <v>2.6</v>
      </c>
      <c r="D7">
        <v>1.41</v>
      </c>
      <c r="E7">
        <f>C7-D7</f>
        <v>1.1900000000000002</v>
      </c>
      <c r="F7">
        <f>C7+D7</f>
        <v>4.01</v>
      </c>
      <c r="G7" t="str">
        <f>IF(AND(E7&gt;=1,F7&lt;=5),"conforme","non conforme")</f>
        <v>conforme</v>
      </c>
      <c r="N7" s="1"/>
    </row>
    <row r="8" spans="1:15">
      <c r="A8">
        <v>2</v>
      </c>
      <c r="C8">
        <v>1.8</v>
      </c>
      <c r="D8">
        <v>2.34</v>
      </c>
      <c r="E8">
        <f t="shared" ref="E8:E15" si="0">C8-D8</f>
        <v>-0.53999999999999981</v>
      </c>
      <c r="F8">
        <f t="shared" ref="F8:F15" si="1">C8+D8</f>
        <v>4.1399999999999997</v>
      </c>
      <c r="G8" t="str">
        <f t="shared" ref="G8:G15" si="2">IF(AND(E8&gt;=1,F8&lt;=5),"conforme","non conforme")</f>
        <v>non conforme</v>
      </c>
      <c r="N8" s="1"/>
    </row>
    <row r="9" spans="1:15">
      <c r="A9">
        <v>3</v>
      </c>
      <c r="C9">
        <v>2.4</v>
      </c>
      <c r="D9">
        <v>1.78</v>
      </c>
      <c r="E9">
        <f t="shared" si="0"/>
        <v>0.61999999999999988</v>
      </c>
      <c r="F9">
        <f t="shared" si="1"/>
        <v>4.18</v>
      </c>
      <c r="G9" t="str">
        <f t="shared" si="2"/>
        <v>non conforme</v>
      </c>
      <c r="I9" s="20"/>
      <c r="J9" s="20"/>
      <c r="N9" s="1"/>
    </row>
    <row r="10" spans="1:15">
      <c r="A10">
        <v>4</v>
      </c>
      <c r="C10">
        <v>2.2999999999999998</v>
      </c>
      <c r="D10">
        <v>2.21</v>
      </c>
      <c r="E10">
        <f t="shared" si="0"/>
        <v>8.9999999999999858E-2</v>
      </c>
      <c r="F10">
        <f t="shared" si="1"/>
        <v>4.51</v>
      </c>
      <c r="G10" t="str">
        <f t="shared" si="2"/>
        <v>non conforme</v>
      </c>
      <c r="I10" s="20"/>
      <c r="J10" s="20"/>
      <c r="N10" s="1"/>
    </row>
    <row r="11" spans="1:15">
      <c r="A11">
        <v>5</v>
      </c>
      <c r="C11">
        <v>3.2</v>
      </c>
      <c r="D11">
        <v>0.99</v>
      </c>
      <c r="E11">
        <f t="shared" si="0"/>
        <v>2.21</v>
      </c>
      <c r="F11">
        <f t="shared" si="1"/>
        <v>4.1900000000000004</v>
      </c>
      <c r="G11" t="str">
        <f t="shared" si="2"/>
        <v>conforme</v>
      </c>
      <c r="N11" s="1"/>
    </row>
    <row r="12" spans="1:15">
      <c r="A12">
        <v>6</v>
      </c>
      <c r="C12">
        <v>3.3</v>
      </c>
      <c r="D12">
        <v>0.78</v>
      </c>
      <c r="E12">
        <f t="shared" si="0"/>
        <v>2.5199999999999996</v>
      </c>
      <c r="F12">
        <f t="shared" si="1"/>
        <v>4.08</v>
      </c>
      <c r="G12" t="str">
        <f t="shared" si="2"/>
        <v>conforme</v>
      </c>
      <c r="N12" s="1"/>
    </row>
    <row r="13" spans="1:15">
      <c r="A13">
        <v>7</v>
      </c>
      <c r="C13">
        <v>3.3</v>
      </c>
      <c r="D13">
        <v>0.67</v>
      </c>
      <c r="E13">
        <f t="shared" si="0"/>
        <v>2.63</v>
      </c>
      <c r="F13">
        <f t="shared" si="1"/>
        <v>3.9699999999999998</v>
      </c>
      <c r="G13" t="str">
        <f t="shared" si="2"/>
        <v>conforme</v>
      </c>
      <c r="N13" s="1"/>
      <c r="O13" s="2"/>
    </row>
    <row r="14" spans="1:15">
      <c r="A14">
        <v>8</v>
      </c>
      <c r="C14">
        <v>3.7</v>
      </c>
      <c r="D14">
        <v>0.66</v>
      </c>
      <c r="E14">
        <f t="shared" si="0"/>
        <v>3.04</v>
      </c>
      <c r="F14">
        <f t="shared" si="1"/>
        <v>4.3600000000000003</v>
      </c>
      <c r="G14" t="str">
        <f t="shared" si="2"/>
        <v>conforme</v>
      </c>
      <c r="N14" s="1"/>
      <c r="O14" s="2"/>
    </row>
    <row r="15" spans="1:15">
      <c r="A15">
        <v>9</v>
      </c>
      <c r="C15">
        <v>3.6</v>
      </c>
      <c r="D15">
        <v>0.74</v>
      </c>
      <c r="E15">
        <f t="shared" si="0"/>
        <v>2.8600000000000003</v>
      </c>
      <c r="F15">
        <f t="shared" si="1"/>
        <v>4.34</v>
      </c>
      <c r="G15" t="str">
        <f t="shared" si="2"/>
        <v>conforme</v>
      </c>
      <c r="N15" s="1"/>
      <c r="O15" s="2"/>
    </row>
    <row r="16" spans="1:15">
      <c r="C16" t="s">
        <v>20</v>
      </c>
    </row>
    <row r="19" spans="5:8">
      <c r="F19" s="5">
        <v>1</v>
      </c>
      <c r="H19">
        <v>2</v>
      </c>
    </row>
    <row r="22" spans="5:8">
      <c r="E22">
        <v>4</v>
      </c>
      <c r="H22" s="3">
        <v>3</v>
      </c>
    </row>
    <row r="26" spans="5:8">
      <c r="F26" s="42">
        <v>5</v>
      </c>
      <c r="G26" s="42"/>
    </row>
    <row r="28" spans="5:8">
      <c r="F28" s="4">
        <v>6</v>
      </c>
      <c r="H28" s="2">
        <v>7</v>
      </c>
    </row>
    <row r="31" spans="5:8">
      <c r="E31" s="6">
        <v>9</v>
      </c>
      <c r="H31" s="2">
        <v>8</v>
      </c>
    </row>
    <row r="33" spans="3:7">
      <c r="C33" s="21"/>
      <c r="D33" s="21"/>
      <c r="E33" s="21"/>
      <c r="F33" s="21"/>
      <c r="G33" s="21"/>
    </row>
    <row r="35" spans="3:7">
      <c r="E35" s="1"/>
    </row>
    <row r="36" spans="3:7">
      <c r="E36" s="1"/>
    </row>
    <row r="37" spans="3:7">
      <c r="E37" s="1"/>
    </row>
    <row r="38" spans="3:7">
      <c r="E38" s="1"/>
    </row>
    <row r="39" spans="3:7">
      <c r="E39" s="1"/>
    </row>
    <row r="40" spans="3:7">
      <c r="E40" s="1"/>
    </row>
    <row r="41" spans="3:7">
      <c r="E41" s="1"/>
      <c r="F41" s="2"/>
    </row>
    <row r="42" spans="3:7">
      <c r="E42" s="1"/>
      <c r="F42" s="2"/>
    </row>
    <row r="43" spans="3:7">
      <c r="E43" s="1"/>
      <c r="F43" s="2"/>
    </row>
  </sheetData>
  <mergeCells count="6">
    <mergeCell ref="F26:G26"/>
    <mergeCell ref="C5:G5"/>
    <mergeCell ref="C1:C4"/>
    <mergeCell ref="D1:G2"/>
    <mergeCell ref="I1:I2"/>
    <mergeCell ref="D3:G4"/>
  </mergeCells>
  <conditionalFormatting sqref="E7:E15">
    <cfRule type="cellIs" dxfId="7" priority="2" operator="lessThan">
      <formula>1</formula>
    </cfRule>
  </conditionalFormatting>
  <conditionalFormatting sqref="F7:F15">
    <cfRule type="cellIs" dxfId="6" priority="1" operator="greaterThan">
      <formula>5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B1:K31"/>
  <sheetViews>
    <sheetView workbookViewId="0">
      <selection activeCell="E7" sqref="E7"/>
    </sheetView>
  </sheetViews>
  <sheetFormatPr defaultColWidth="11.42578125" defaultRowHeight="15"/>
  <cols>
    <col min="8" max="8" width="16.42578125" customWidth="1"/>
    <col min="11" max="11" width="13.42578125" bestFit="1" customWidth="1"/>
  </cols>
  <sheetData>
    <row r="1" spans="2:11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2:11" ht="16.5" thickBot="1">
      <c r="B2" s="43"/>
      <c r="C2" s="29"/>
      <c r="D2" s="40"/>
      <c r="E2" s="40"/>
      <c r="F2" s="40"/>
      <c r="G2" s="9" t="s">
        <v>4</v>
      </c>
      <c r="H2" s="38"/>
    </row>
    <row r="3" spans="2:11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2:11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2:11">
      <c r="F5" s="42"/>
      <c r="G5" s="42"/>
      <c r="H5" s="42"/>
      <c r="I5" s="42"/>
      <c r="J5" s="42"/>
      <c r="K5" s="42"/>
    </row>
    <row r="6" spans="2:11">
      <c r="C6" t="s">
        <v>15</v>
      </c>
      <c r="D6" t="s">
        <v>16</v>
      </c>
      <c r="E6" t="s">
        <v>11</v>
      </c>
      <c r="F6" t="s">
        <v>17</v>
      </c>
      <c r="G6" t="s">
        <v>18</v>
      </c>
      <c r="H6" t="s">
        <v>14</v>
      </c>
    </row>
    <row r="7" spans="2:11">
      <c r="B7">
        <v>1</v>
      </c>
      <c r="D7">
        <v>4.7</v>
      </c>
      <c r="E7">
        <v>0.94</v>
      </c>
      <c r="F7">
        <f>D7-E7</f>
        <v>3.7600000000000002</v>
      </c>
      <c r="G7">
        <f>D7+E7</f>
        <v>5.6400000000000006</v>
      </c>
      <c r="H7" t="str">
        <f>IF(AND(F7&gt;=2,G7&lt;=8),"conforme","non conforme")</f>
        <v>conforme</v>
      </c>
    </row>
    <row r="8" spans="2:11">
      <c r="B8">
        <v>2</v>
      </c>
      <c r="D8">
        <v>4.9000000000000004</v>
      </c>
      <c r="E8">
        <v>1.04</v>
      </c>
      <c r="F8">
        <f t="shared" ref="F8:F15" si="0">D8-E8</f>
        <v>3.8600000000000003</v>
      </c>
      <c r="G8">
        <f t="shared" ref="G8:G15" si="1">D8+E8</f>
        <v>5.94</v>
      </c>
      <c r="H8" t="str">
        <f t="shared" ref="H8:H15" si="2">IF(AND(F8&gt;=2,G8&lt;=8),"conforme","non conforme")</f>
        <v>conforme</v>
      </c>
    </row>
    <row r="9" spans="2:11">
      <c r="B9">
        <v>3</v>
      </c>
      <c r="D9">
        <v>5</v>
      </c>
      <c r="E9">
        <v>0.99</v>
      </c>
      <c r="F9">
        <f t="shared" si="0"/>
        <v>4.01</v>
      </c>
      <c r="G9">
        <f t="shared" si="1"/>
        <v>5.99</v>
      </c>
      <c r="H9" t="str">
        <f>IF(AND(F9&gt;=2,G9&lt;=8),"conforme","non conforme")</f>
        <v>conforme</v>
      </c>
    </row>
    <row r="10" spans="2:11">
      <c r="B10">
        <v>4</v>
      </c>
      <c r="D10">
        <v>4.7</v>
      </c>
      <c r="E10">
        <v>1.1299999999999999</v>
      </c>
      <c r="F10">
        <f t="shared" si="0"/>
        <v>3.5700000000000003</v>
      </c>
      <c r="G10">
        <f t="shared" si="1"/>
        <v>5.83</v>
      </c>
      <c r="H10" t="str">
        <f t="shared" si="2"/>
        <v>conforme</v>
      </c>
    </row>
    <row r="11" spans="2:11">
      <c r="B11">
        <v>5</v>
      </c>
      <c r="D11">
        <v>5.6</v>
      </c>
      <c r="E11">
        <v>1.05</v>
      </c>
      <c r="F11">
        <f t="shared" si="0"/>
        <v>4.55</v>
      </c>
      <c r="G11">
        <f t="shared" si="1"/>
        <v>6.6499999999999995</v>
      </c>
      <c r="H11" t="str">
        <f t="shared" si="2"/>
        <v>conforme</v>
      </c>
    </row>
    <row r="12" spans="2:11">
      <c r="B12">
        <v>6</v>
      </c>
      <c r="D12">
        <v>4.5999999999999996</v>
      </c>
      <c r="E12">
        <v>1.04</v>
      </c>
      <c r="F12">
        <f t="shared" si="0"/>
        <v>3.5599999999999996</v>
      </c>
      <c r="G12">
        <f t="shared" si="1"/>
        <v>5.64</v>
      </c>
      <c r="H12" t="str">
        <f t="shared" si="2"/>
        <v>conforme</v>
      </c>
    </row>
    <row r="13" spans="2:11">
      <c r="B13">
        <v>7</v>
      </c>
      <c r="D13">
        <v>4.5999999999999996</v>
      </c>
      <c r="E13">
        <v>1.19</v>
      </c>
      <c r="F13">
        <f t="shared" si="0"/>
        <v>3.4099999999999997</v>
      </c>
      <c r="G13">
        <f t="shared" si="1"/>
        <v>5.7899999999999991</v>
      </c>
      <c r="H13" t="str">
        <f t="shared" si="2"/>
        <v>conforme</v>
      </c>
    </row>
    <row r="14" spans="2:11">
      <c r="B14">
        <v>8</v>
      </c>
      <c r="D14">
        <v>4.5999999999999996</v>
      </c>
      <c r="E14">
        <v>1.17</v>
      </c>
      <c r="F14">
        <f t="shared" si="0"/>
        <v>3.4299999999999997</v>
      </c>
      <c r="G14">
        <f t="shared" si="1"/>
        <v>5.77</v>
      </c>
      <c r="H14" s="2" t="str">
        <f t="shared" si="2"/>
        <v>conforme</v>
      </c>
    </row>
    <row r="15" spans="2:11">
      <c r="B15">
        <v>9</v>
      </c>
      <c r="D15">
        <v>4.9000000000000004</v>
      </c>
      <c r="E15">
        <v>1.1200000000000001</v>
      </c>
      <c r="F15">
        <f t="shared" si="0"/>
        <v>3.7800000000000002</v>
      </c>
      <c r="G15">
        <f t="shared" si="1"/>
        <v>6.0200000000000005</v>
      </c>
      <c r="H15" t="str">
        <f t="shared" si="2"/>
        <v>conforme</v>
      </c>
    </row>
    <row r="19" spans="6:9">
      <c r="G19" s="5">
        <v>1</v>
      </c>
      <c r="I19">
        <v>2</v>
      </c>
    </row>
    <row r="22" spans="6:9">
      <c r="F22">
        <v>4</v>
      </c>
      <c r="I22" s="3">
        <v>3</v>
      </c>
    </row>
    <row r="26" spans="6:9">
      <c r="G26" s="42">
        <v>5</v>
      </c>
      <c r="H26" s="42"/>
    </row>
    <row r="28" spans="6:9">
      <c r="G28" s="4">
        <v>6</v>
      </c>
      <c r="I28" s="2">
        <v>7</v>
      </c>
    </row>
    <row r="31" spans="6:9">
      <c r="F31" s="6">
        <v>9</v>
      </c>
      <c r="I31" s="2">
        <v>8</v>
      </c>
    </row>
  </sheetData>
  <mergeCells count="7">
    <mergeCell ref="G26:H26"/>
    <mergeCell ref="F5:H5"/>
    <mergeCell ref="I5:K5"/>
    <mergeCell ref="B1:B4"/>
    <mergeCell ref="C1:F2"/>
    <mergeCell ref="H1:H2"/>
    <mergeCell ref="C3:F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B1:K31"/>
  <sheetViews>
    <sheetView workbookViewId="0">
      <selection activeCell="E16" sqref="E16"/>
    </sheetView>
  </sheetViews>
  <sheetFormatPr defaultColWidth="11.42578125" defaultRowHeight="15"/>
  <cols>
    <col min="8" max="8" width="16.42578125" customWidth="1"/>
    <col min="11" max="11" width="13.42578125" bestFit="1" customWidth="1"/>
  </cols>
  <sheetData>
    <row r="1" spans="2:11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2:11" ht="16.5" thickBot="1">
      <c r="B2" s="43"/>
      <c r="C2" s="29"/>
      <c r="D2" s="40"/>
      <c r="E2" s="40"/>
      <c r="F2" s="40"/>
      <c r="G2" s="9" t="s">
        <v>4</v>
      </c>
      <c r="H2" s="38"/>
    </row>
    <row r="3" spans="2:11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2:11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2:11">
      <c r="F5" s="42"/>
      <c r="G5" s="42"/>
      <c r="H5" s="42"/>
      <c r="I5" s="42"/>
      <c r="J5" s="42"/>
      <c r="K5" s="42"/>
    </row>
    <row r="6" spans="2:11">
      <c r="C6" t="s">
        <v>15</v>
      </c>
      <c r="D6" t="s">
        <v>16</v>
      </c>
      <c r="E6" t="s">
        <v>11</v>
      </c>
      <c r="F6" t="s">
        <v>17</v>
      </c>
      <c r="G6" t="s">
        <v>18</v>
      </c>
      <c r="H6" t="s">
        <v>14</v>
      </c>
    </row>
    <row r="7" spans="2:11">
      <c r="B7">
        <v>1</v>
      </c>
      <c r="C7">
        <v>-20</v>
      </c>
      <c r="D7">
        <v>-21.8</v>
      </c>
      <c r="E7">
        <v>2.4900000000000002</v>
      </c>
      <c r="F7">
        <f>D7-E7</f>
        <v>-24.29</v>
      </c>
      <c r="G7">
        <f>D7+E7</f>
        <v>-19.310000000000002</v>
      </c>
      <c r="H7" t="str">
        <f>IF(AND(F7&gt;=-26,G7&lt;=-14),"conforme","non conforme")</f>
        <v>conforme</v>
      </c>
    </row>
    <row r="8" spans="2:11">
      <c r="B8">
        <v>2</v>
      </c>
      <c r="C8">
        <v>-20</v>
      </c>
      <c r="D8">
        <v>-22</v>
      </c>
      <c r="E8">
        <v>3.2</v>
      </c>
      <c r="F8">
        <f t="shared" ref="F8:F15" si="0">D8-E8</f>
        <v>-25.2</v>
      </c>
      <c r="G8">
        <f t="shared" ref="G8:G15" si="1">D8+E8</f>
        <v>-18.8</v>
      </c>
      <c r="H8" t="str">
        <f t="shared" ref="H8:H15" si="2">IF(AND(F8&gt;=-26,G8&lt;=-14),"conforme","non conforme")</f>
        <v>conforme</v>
      </c>
    </row>
    <row r="9" spans="2:11">
      <c r="B9">
        <v>3</v>
      </c>
      <c r="C9">
        <v>-20</v>
      </c>
      <c r="D9">
        <v>-21.9</v>
      </c>
      <c r="E9">
        <v>2.93</v>
      </c>
      <c r="F9">
        <f t="shared" si="0"/>
        <v>-24.83</v>
      </c>
      <c r="G9">
        <f t="shared" si="1"/>
        <v>-18.97</v>
      </c>
      <c r="H9" t="str">
        <f t="shared" si="2"/>
        <v>conforme</v>
      </c>
    </row>
    <row r="10" spans="2:11">
      <c r="B10">
        <v>4</v>
      </c>
      <c r="C10">
        <v>-20</v>
      </c>
      <c r="D10">
        <v>-21.5</v>
      </c>
      <c r="E10">
        <v>2.69</v>
      </c>
      <c r="F10">
        <f t="shared" si="0"/>
        <v>-24.19</v>
      </c>
      <c r="G10">
        <f t="shared" si="1"/>
        <v>-18.809999999999999</v>
      </c>
      <c r="H10" t="str">
        <f t="shared" si="2"/>
        <v>conforme</v>
      </c>
    </row>
    <row r="11" spans="2:11">
      <c r="B11">
        <v>5</v>
      </c>
      <c r="C11">
        <v>-20</v>
      </c>
      <c r="D11">
        <v>-21.5</v>
      </c>
      <c r="E11">
        <v>2.69</v>
      </c>
      <c r="F11">
        <f t="shared" si="0"/>
        <v>-24.19</v>
      </c>
      <c r="G11">
        <f t="shared" si="1"/>
        <v>-18.809999999999999</v>
      </c>
      <c r="H11" t="str">
        <f t="shared" si="2"/>
        <v>conforme</v>
      </c>
    </row>
    <row r="12" spans="2:11">
      <c r="B12">
        <v>6</v>
      </c>
      <c r="C12">
        <v>-20</v>
      </c>
      <c r="D12">
        <v>-19.899999999999999</v>
      </c>
      <c r="E12">
        <v>1.7</v>
      </c>
      <c r="F12">
        <f t="shared" si="0"/>
        <v>-21.599999999999998</v>
      </c>
      <c r="G12">
        <f t="shared" si="1"/>
        <v>-18.2</v>
      </c>
      <c r="H12" t="str">
        <f t="shared" si="2"/>
        <v>conforme</v>
      </c>
    </row>
    <row r="13" spans="2:11">
      <c r="B13">
        <v>7</v>
      </c>
      <c r="C13">
        <v>-20</v>
      </c>
      <c r="D13">
        <v>-20.9</v>
      </c>
      <c r="E13">
        <v>1.39</v>
      </c>
      <c r="F13">
        <f t="shared" si="0"/>
        <v>-22.29</v>
      </c>
      <c r="G13">
        <f t="shared" si="1"/>
        <v>-19.509999999999998</v>
      </c>
      <c r="H13" t="str">
        <f t="shared" si="2"/>
        <v>conforme</v>
      </c>
    </row>
    <row r="14" spans="2:11">
      <c r="B14">
        <v>8</v>
      </c>
      <c r="C14">
        <v>-20</v>
      </c>
      <c r="D14">
        <v>-20.7</v>
      </c>
      <c r="E14">
        <v>1.76</v>
      </c>
      <c r="F14">
        <f t="shared" si="0"/>
        <v>-22.46</v>
      </c>
      <c r="G14">
        <f t="shared" si="1"/>
        <v>-18.939999999999998</v>
      </c>
      <c r="H14" t="str">
        <f t="shared" si="2"/>
        <v>conforme</v>
      </c>
    </row>
    <row r="15" spans="2:11">
      <c r="B15">
        <v>9</v>
      </c>
      <c r="C15">
        <v>-20</v>
      </c>
      <c r="D15">
        <v>-19.2</v>
      </c>
      <c r="E15">
        <v>1.31</v>
      </c>
      <c r="F15">
        <f t="shared" si="0"/>
        <v>-20.509999999999998</v>
      </c>
      <c r="G15">
        <f t="shared" si="1"/>
        <v>-17.89</v>
      </c>
      <c r="H15" t="str">
        <f t="shared" si="2"/>
        <v>conforme</v>
      </c>
    </row>
    <row r="19" spans="6:9">
      <c r="G19" s="5">
        <v>1</v>
      </c>
      <c r="I19">
        <v>2</v>
      </c>
    </row>
    <row r="22" spans="6:9">
      <c r="F22">
        <v>4</v>
      </c>
      <c r="I22" s="3">
        <v>3</v>
      </c>
    </row>
    <row r="26" spans="6:9">
      <c r="G26" s="42">
        <v>5</v>
      </c>
      <c r="H26" s="42"/>
    </row>
    <row r="28" spans="6:9">
      <c r="G28" s="4">
        <v>6</v>
      </c>
      <c r="I28" s="2">
        <v>7</v>
      </c>
    </row>
    <row r="31" spans="6:9">
      <c r="F31" s="6">
        <v>9</v>
      </c>
      <c r="I31" s="2">
        <v>8</v>
      </c>
    </row>
  </sheetData>
  <mergeCells count="7">
    <mergeCell ref="I5:K5"/>
    <mergeCell ref="G26:H26"/>
    <mergeCell ref="B1:B4"/>
    <mergeCell ref="C1:F2"/>
    <mergeCell ref="H1:H2"/>
    <mergeCell ref="C3:F4"/>
    <mergeCell ref="F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31"/>
  <sheetViews>
    <sheetView workbookViewId="0">
      <selection activeCell="E16" sqref="E16"/>
    </sheetView>
  </sheetViews>
  <sheetFormatPr defaultColWidth="11.42578125" defaultRowHeight="15"/>
  <cols>
    <col min="8" max="8" width="16.42578125" customWidth="1"/>
    <col min="11" max="11" width="13.42578125" bestFit="1" customWidth="1"/>
  </cols>
  <sheetData>
    <row r="1" spans="2:11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2:11" ht="16.5" thickBot="1">
      <c r="B2" s="43"/>
      <c r="C2" s="29"/>
      <c r="D2" s="40"/>
      <c r="E2" s="40"/>
      <c r="F2" s="40"/>
      <c r="G2" s="9" t="s">
        <v>4</v>
      </c>
      <c r="H2" s="38"/>
    </row>
    <row r="3" spans="2:11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2:11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2:11">
      <c r="F5" s="42"/>
      <c r="G5" s="42"/>
      <c r="H5" s="42"/>
      <c r="I5" s="42"/>
      <c r="J5" s="42"/>
      <c r="K5" s="42"/>
    </row>
    <row r="6" spans="2:11">
      <c r="C6" t="s">
        <v>15</v>
      </c>
      <c r="D6" t="s">
        <v>16</v>
      </c>
      <c r="E6" t="s">
        <v>11</v>
      </c>
      <c r="F6" t="s">
        <v>17</v>
      </c>
      <c r="G6" t="s">
        <v>18</v>
      </c>
      <c r="H6" t="s">
        <v>14</v>
      </c>
    </row>
    <row r="7" spans="2:11">
      <c r="B7">
        <v>1</v>
      </c>
      <c r="C7">
        <v>5</v>
      </c>
      <c r="D7">
        <v>6.1</v>
      </c>
      <c r="E7">
        <v>1.64</v>
      </c>
      <c r="F7">
        <f>D7-E7</f>
        <v>4.46</v>
      </c>
      <c r="G7">
        <f>D7+E7</f>
        <v>7.7399999999999993</v>
      </c>
      <c r="H7" t="str">
        <f>IF(AND(F7&gt;=2,G7&lt;=8),"conforme","non conforme")</f>
        <v>conforme</v>
      </c>
    </row>
    <row r="8" spans="2:11">
      <c r="B8">
        <v>2</v>
      </c>
      <c r="C8">
        <v>5</v>
      </c>
      <c r="D8">
        <v>6.1</v>
      </c>
      <c r="E8">
        <v>1.53</v>
      </c>
      <c r="F8">
        <f t="shared" ref="F8:F15" si="0">D8-E8</f>
        <v>4.5699999999999994</v>
      </c>
      <c r="G8">
        <f t="shared" ref="G8:G15" si="1">D8+E8</f>
        <v>7.63</v>
      </c>
      <c r="H8" t="str">
        <f t="shared" ref="H8:H15" si="2">IF(AND(F8&gt;=2,G8&lt;=8),"conforme","non conforme")</f>
        <v>conforme</v>
      </c>
    </row>
    <row r="9" spans="2:11">
      <c r="B9">
        <v>3</v>
      </c>
      <c r="C9">
        <v>5</v>
      </c>
      <c r="D9">
        <v>6.3</v>
      </c>
      <c r="E9">
        <v>1.6</v>
      </c>
      <c r="F9">
        <f t="shared" si="0"/>
        <v>4.6999999999999993</v>
      </c>
      <c r="G9">
        <f t="shared" si="1"/>
        <v>7.9</v>
      </c>
      <c r="H9" t="str">
        <f>IF(AND(F9&gt;=2,G9&lt;=8),"conforme","non conforme")</f>
        <v>conforme</v>
      </c>
    </row>
    <row r="10" spans="2:11">
      <c r="B10">
        <v>4</v>
      </c>
      <c r="C10">
        <v>5</v>
      </c>
      <c r="D10">
        <v>6.2</v>
      </c>
      <c r="E10">
        <v>1.61</v>
      </c>
      <c r="F10">
        <f t="shared" si="0"/>
        <v>4.59</v>
      </c>
      <c r="G10">
        <f t="shared" si="1"/>
        <v>7.8100000000000005</v>
      </c>
      <c r="H10" t="str">
        <f t="shared" si="2"/>
        <v>conforme</v>
      </c>
    </row>
    <row r="11" spans="2:11">
      <c r="B11">
        <v>5</v>
      </c>
      <c r="C11">
        <v>5</v>
      </c>
      <c r="D11">
        <v>5.8</v>
      </c>
      <c r="E11">
        <v>1.86</v>
      </c>
      <c r="F11">
        <f t="shared" si="0"/>
        <v>3.9399999999999995</v>
      </c>
      <c r="G11">
        <f t="shared" si="1"/>
        <v>7.66</v>
      </c>
      <c r="H11" t="str">
        <f t="shared" si="2"/>
        <v>conforme</v>
      </c>
    </row>
    <row r="12" spans="2:11">
      <c r="B12">
        <v>6</v>
      </c>
      <c r="C12">
        <v>5</v>
      </c>
      <c r="D12">
        <v>5.4</v>
      </c>
      <c r="E12">
        <v>1.8</v>
      </c>
      <c r="F12">
        <f t="shared" si="0"/>
        <v>3.6000000000000005</v>
      </c>
      <c r="G12">
        <f t="shared" si="1"/>
        <v>7.2</v>
      </c>
      <c r="H12" t="str">
        <f t="shared" si="2"/>
        <v>conforme</v>
      </c>
    </row>
    <row r="13" spans="2:11">
      <c r="B13">
        <v>7</v>
      </c>
      <c r="C13">
        <v>5</v>
      </c>
      <c r="D13">
        <v>5.8</v>
      </c>
      <c r="E13">
        <v>1.92</v>
      </c>
      <c r="F13">
        <f t="shared" si="0"/>
        <v>3.88</v>
      </c>
      <c r="G13">
        <f t="shared" si="1"/>
        <v>7.72</v>
      </c>
      <c r="H13" t="str">
        <f t="shared" si="2"/>
        <v>conforme</v>
      </c>
    </row>
    <row r="14" spans="2:11">
      <c r="B14">
        <v>8</v>
      </c>
      <c r="C14">
        <v>5</v>
      </c>
      <c r="D14">
        <v>6</v>
      </c>
      <c r="E14">
        <v>1.53</v>
      </c>
      <c r="F14">
        <f t="shared" si="0"/>
        <v>4.47</v>
      </c>
      <c r="G14">
        <f t="shared" si="1"/>
        <v>7.53</v>
      </c>
      <c r="H14" s="2" t="str">
        <f t="shared" si="2"/>
        <v>conforme</v>
      </c>
    </row>
    <row r="15" spans="2:11">
      <c r="B15">
        <v>9</v>
      </c>
      <c r="C15">
        <v>5</v>
      </c>
      <c r="D15">
        <v>5.4</v>
      </c>
      <c r="E15">
        <v>2.13</v>
      </c>
      <c r="F15">
        <f t="shared" si="0"/>
        <v>3.2700000000000005</v>
      </c>
      <c r="G15">
        <f t="shared" si="1"/>
        <v>7.53</v>
      </c>
      <c r="H15" t="str">
        <f t="shared" si="2"/>
        <v>conforme</v>
      </c>
    </row>
    <row r="19" spans="6:9">
      <c r="G19" s="5">
        <v>1</v>
      </c>
      <c r="I19">
        <v>2</v>
      </c>
    </row>
    <row r="22" spans="6:9">
      <c r="F22">
        <v>4</v>
      </c>
      <c r="I22" s="3">
        <v>3</v>
      </c>
    </row>
    <row r="26" spans="6:9">
      <c r="G26" s="42">
        <v>5</v>
      </c>
      <c r="H26" s="42"/>
    </row>
    <row r="28" spans="6:9">
      <c r="G28" s="4">
        <v>6</v>
      </c>
      <c r="I28" s="2">
        <v>7</v>
      </c>
    </row>
    <row r="31" spans="6:9">
      <c r="F31" s="6">
        <v>9</v>
      </c>
      <c r="I31" s="2">
        <v>8</v>
      </c>
    </row>
  </sheetData>
  <mergeCells count="7">
    <mergeCell ref="I5:K5"/>
    <mergeCell ref="G26:H26"/>
    <mergeCell ref="B1:B4"/>
    <mergeCell ref="C1:F2"/>
    <mergeCell ref="H1:H2"/>
    <mergeCell ref="C3:F4"/>
    <mergeCell ref="F5:H5"/>
  </mergeCells>
  <conditionalFormatting sqref="F7:F15">
    <cfRule type="cellIs" dxfId="5" priority="2" operator="lessThan">
      <formula>2</formula>
    </cfRule>
  </conditionalFormatting>
  <conditionalFormatting sqref="G7:G15">
    <cfRule type="cellIs" dxfId="4" priority="1" operator="greaterThan">
      <formula>8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93E7-114E-4B49-B8E6-9C9D4A35E4FF}">
  <sheetPr>
    <tabColor rgb="FF00B050"/>
  </sheetPr>
  <dimension ref="D6:J9"/>
  <sheetViews>
    <sheetView workbookViewId="0">
      <selection activeCell="I27" sqref="I27"/>
    </sheetView>
  </sheetViews>
  <sheetFormatPr defaultColWidth="11.42578125" defaultRowHeight="15"/>
  <cols>
    <col min="10" max="10" width="16.42578125" customWidth="1"/>
  </cols>
  <sheetData>
    <row r="6" spans="4:10">
      <c r="E6" t="s">
        <v>15</v>
      </c>
      <c r="F6" t="s">
        <v>16</v>
      </c>
      <c r="G6" t="s">
        <v>11</v>
      </c>
      <c r="H6" t="s">
        <v>17</v>
      </c>
      <c r="I6" t="s">
        <v>18</v>
      </c>
      <c r="J6" t="s">
        <v>14</v>
      </c>
    </row>
    <row r="7" spans="4:10">
      <c r="D7">
        <v>1</v>
      </c>
      <c r="E7">
        <v>420</v>
      </c>
      <c r="F7">
        <v>412</v>
      </c>
      <c r="G7">
        <v>1</v>
      </c>
      <c r="H7">
        <f>F7-G7</f>
        <v>411</v>
      </c>
      <c r="I7">
        <f>F7+G7</f>
        <v>413</v>
      </c>
      <c r="J7" t="str">
        <f>IF(AND(H7&gt;=410,I7&lt;=430),"conforme","non conforme")</f>
        <v>conforme</v>
      </c>
    </row>
    <row r="8" spans="4:10">
      <c r="D8">
        <v>2</v>
      </c>
      <c r="E8">
        <v>420</v>
      </c>
      <c r="F8">
        <v>413.5</v>
      </c>
      <c r="G8">
        <v>1</v>
      </c>
      <c r="H8">
        <f t="shared" ref="H8:H9" si="0">F8-G8</f>
        <v>412.5</v>
      </c>
      <c r="I8">
        <f t="shared" ref="I8:I9" si="1">F8+G8</f>
        <v>414.5</v>
      </c>
      <c r="J8" t="str">
        <f t="shared" ref="J8:J9" si="2">IF(AND(H8&gt;=410,I8&lt;=430),"conforme","non conforme")</f>
        <v>conforme</v>
      </c>
    </row>
    <row r="9" spans="4:10">
      <c r="D9">
        <v>3</v>
      </c>
      <c r="E9">
        <v>420</v>
      </c>
      <c r="F9">
        <v>415.1</v>
      </c>
      <c r="G9">
        <v>1</v>
      </c>
      <c r="H9">
        <f t="shared" si="0"/>
        <v>414.1</v>
      </c>
      <c r="I9">
        <f t="shared" si="1"/>
        <v>416.1</v>
      </c>
      <c r="J9" t="str">
        <f t="shared" si="2"/>
        <v>conforme</v>
      </c>
    </row>
  </sheetData>
  <conditionalFormatting sqref="H7:H9">
    <cfRule type="cellIs" dxfId="3" priority="2" operator="lessThan">
      <formula>2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H16"/>
  <sheetViews>
    <sheetView topLeftCell="A4" workbookViewId="0">
      <selection activeCell="J28" sqref="J28"/>
    </sheetView>
  </sheetViews>
  <sheetFormatPr defaultColWidth="11.42578125" defaultRowHeight="15"/>
  <sheetData>
    <row r="1" spans="1:8" ht="15.75">
      <c r="B1" s="28" t="s">
        <v>0</v>
      </c>
      <c r="C1" s="31" t="s">
        <v>1</v>
      </c>
      <c r="D1" s="32"/>
      <c r="E1" s="32"/>
      <c r="F1" s="33"/>
      <c r="G1" s="8" t="s">
        <v>2</v>
      </c>
      <c r="H1" s="37" t="s">
        <v>3</v>
      </c>
    </row>
    <row r="2" spans="1:8" ht="16.5" thickBot="1">
      <c r="B2" s="29"/>
      <c r="C2" s="34"/>
      <c r="D2" s="35"/>
      <c r="E2" s="35"/>
      <c r="F2" s="36"/>
      <c r="G2" s="9" t="s">
        <v>4</v>
      </c>
      <c r="H2" s="38"/>
    </row>
    <row r="3" spans="1:8" ht="15.75">
      <c r="B3" s="29"/>
      <c r="C3" s="31" t="s">
        <v>5</v>
      </c>
      <c r="D3" s="32"/>
      <c r="E3" s="32"/>
      <c r="F3" s="33"/>
      <c r="G3" s="10" t="s">
        <v>6</v>
      </c>
      <c r="H3" s="10" t="s">
        <v>7</v>
      </c>
    </row>
    <row r="4" spans="1:8" ht="16.5" thickBot="1">
      <c r="B4" s="30"/>
      <c r="C4" s="34"/>
      <c r="D4" s="35"/>
      <c r="E4" s="35"/>
      <c r="F4" s="36"/>
      <c r="G4" s="11">
        <v>42829</v>
      </c>
      <c r="H4" s="9">
        <v>1</v>
      </c>
    </row>
    <row r="7" spans="1:8">
      <c r="D7" t="s">
        <v>22</v>
      </c>
    </row>
    <row r="8" spans="1:8">
      <c r="A8" t="s">
        <v>23</v>
      </c>
      <c r="B8" s="23" t="s">
        <v>24</v>
      </c>
      <c r="C8" s="23" t="s">
        <v>11</v>
      </c>
      <c r="D8" s="23" t="s">
        <v>12</v>
      </c>
      <c r="E8" s="23" t="s">
        <v>13</v>
      </c>
      <c r="F8" s="23" t="s">
        <v>14</v>
      </c>
    </row>
    <row r="9" spans="1:8">
      <c r="A9">
        <v>24</v>
      </c>
      <c r="B9" s="24">
        <v>24.2</v>
      </c>
      <c r="C9" s="24">
        <v>0.2</v>
      </c>
      <c r="D9" s="24">
        <f>B9-C9</f>
        <v>24</v>
      </c>
      <c r="E9" s="24">
        <f>B9+C9</f>
        <v>24.4</v>
      </c>
      <c r="F9" s="24" t="str">
        <f>IF(AND(D9&gt;23,E9&lt;25),"conforme","non conforme")</f>
        <v>conforme</v>
      </c>
    </row>
    <row r="12" spans="1:8">
      <c r="C12" t="s">
        <v>25</v>
      </c>
    </row>
    <row r="14" spans="1:8">
      <c r="A14" t="s">
        <v>23</v>
      </c>
      <c r="B14" s="23" t="s">
        <v>24</v>
      </c>
      <c r="C14" s="23" t="s">
        <v>11</v>
      </c>
      <c r="D14" s="23" t="s">
        <v>12</v>
      </c>
      <c r="E14" s="23" t="s">
        <v>13</v>
      </c>
      <c r="F14" s="23" t="s">
        <v>14</v>
      </c>
    </row>
    <row r="15" spans="1:8">
      <c r="A15">
        <v>25</v>
      </c>
      <c r="B15" s="24">
        <v>24.5</v>
      </c>
      <c r="C15" s="24">
        <v>0.2</v>
      </c>
      <c r="D15" s="24">
        <f>B15-C15</f>
        <v>24.3</v>
      </c>
      <c r="E15" s="24">
        <f>B15+C15</f>
        <v>24.7</v>
      </c>
      <c r="F15" s="24" t="str">
        <f>IF(AND(D15&gt;24,E15&lt;26),"conforme","non conforme")</f>
        <v>conforme</v>
      </c>
    </row>
    <row r="16" spans="1:8">
      <c r="A16">
        <v>25</v>
      </c>
      <c r="B16" s="24">
        <v>24.6</v>
      </c>
      <c r="C16" s="24">
        <v>0.2</v>
      </c>
      <c r="D16" s="24">
        <f>B16-C16</f>
        <v>24.400000000000002</v>
      </c>
      <c r="E16" s="24">
        <f>B16+C16</f>
        <v>24.8</v>
      </c>
      <c r="F16" s="24" t="str">
        <f>IF(AND(D16&gt;24,E16&lt;26),"conforme","non conforme")</f>
        <v>conforme</v>
      </c>
    </row>
  </sheetData>
  <mergeCells count="4">
    <mergeCell ref="B1:B4"/>
    <mergeCell ref="C1:F2"/>
    <mergeCell ref="H1:H2"/>
    <mergeCell ref="C3:F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H11"/>
  <sheetViews>
    <sheetView workbookViewId="0">
      <selection activeCell="L24" sqref="L24"/>
    </sheetView>
  </sheetViews>
  <sheetFormatPr defaultColWidth="11.42578125" defaultRowHeight="15"/>
  <sheetData>
    <row r="1" spans="1:8" ht="15.75">
      <c r="B1" s="28" t="s">
        <v>0</v>
      </c>
      <c r="C1" s="31" t="s">
        <v>1</v>
      </c>
      <c r="D1" s="32"/>
      <c r="E1" s="32"/>
      <c r="F1" s="33"/>
      <c r="G1" s="8" t="s">
        <v>2</v>
      </c>
      <c r="H1" s="37" t="s">
        <v>3</v>
      </c>
    </row>
    <row r="2" spans="1:8" ht="16.5" thickBot="1">
      <c r="B2" s="29"/>
      <c r="C2" s="34"/>
      <c r="D2" s="35"/>
      <c r="E2" s="35"/>
      <c r="F2" s="36"/>
      <c r="G2" s="9" t="s">
        <v>4</v>
      </c>
      <c r="H2" s="38"/>
    </row>
    <row r="3" spans="1:8" ht="15.75">
      <c r="B3" s="29"/>
      <c r="C3" s="31" t="s">
        <v>5</v>
      </c>
      <c r="D3" s="32"/>
      <c r="E3" s="32"/>
      <c r="F3" s="33"/>
      <c r="G3" s="10" t="s">
        <v>6</v>
      </c>
      <c r="H3" s="10" t="s">
        <v>7</v>
      </c>
    </row>
    <row r="4" spans="1:8" ht="16.5" thickBot="1">
      <c r="B4" s="30"/>
      <c r="C4" s="34"/>
      <c r="D4" s="35"/>
      <c r="E4" s="35"/>
      <c r="F4" s="36"/>
      <c r="G4" s="11">
        <v>42829</v>
      </c>
      <c r="H4" s="9">
        <v>1</v>
      </c>
    </row>
    <row r="6" spans="1:8">
      <c r="B6" t="s">
        <v>15</v>
      </c>
      <c r="C6" t="s">
        <v>16</v>
      </c>
      <c r="D6" t="s">
        <v>11</v>
      </c>
      <c r="E6" t="s">
        <v>17</v>
      </c>
      <c r="F6" t="s">
        <v>18</v>
      </c>
    </row>
    <row r="7" spans="1:8">
      <c r="A7">
        <v>1</v>
      </c>
      <c r="B7">
        <v>100</v>
      </c>
      <c r="C7">
        <v>100.3</v>
      </c>
      <c r="D7">
        <v>0.36</v>
      </c>
      <c r="E7">
        <f>C7-D7</f>
        <v>99.94</v>
      </c>
      <c r="F7">
        <f>C7+D7</f>
        <v>100.66</v>
      </c>
    </row>
    <row r="8" spans="1:8">
      <c r="A8">
        <v>2</v>
      </c>
      <c r="B8">
        <v>100</v>
      </c>
      <c r="C8">
        <v>100.3</v>
      </c>
      <c r="D8">
        <v>0.35</v>
      </c>
      <c r="E8">
        <f t="shared" ref="E8:E11" si="0">C8-D8</f>
        <v>99.95</v>
      </c>
      <c r="F8">
        <f t="shared" ref="F8:F11" si="1">C8+D8</f>
        <v>100.64999999999999</v>
      </c>
    </row>
    <row r="9" spans="1:8">
      <c r="A9">
        <v>3</v>
      </c>
      <c r="B9">
        <v>100</v>
      </c>
      <c r="C9">
        <v>100.4</v>
      </c>
      <c r="D9">
        <v>0.37</v>
      </c>
      <c r="E9">
        <f t="shared" si="0"/>
        <v>100.03</v>
      </c>
      <c r="F9">
        <f t="shared" si="1"/>
        <v>100.77000000000001</v>
      </c>
    </row>
    <row r="10" spans="1:8">
      <c r="A10">
        <v>4</v>
      </c>
      <c r="B10">
        <v>100</v>
      </c>
      <c r="C10">
        <v>100.3</v>
      </c>
      <c r="D10">
        <v>0.35</v>
      </c>
      <c r="E10">
        <f>C10-D10</f>
        <v>99.95</v>
      </c>
      <c r="F10">
        <f t="shared" si="1"/>
        <v>100.64999999999999</v>
      </c>
    </row>
    <row r="11" spans="1:8">
      <c r="A11">
        <v>5</v>
      </c>
      <c r="B11">
        <v>100</v>
      </c>
      <c r="C11">
        <v>100.3</v>
      </c>
      <c r="D11">
        <v>0.36</v>
      </c>
      <c r="E11">
        <f t="shared" si="0"/>
        <v>99.94</v>
      </c>
      <c r="F11">
        <f t="shared" si="1"/>
        <v>100.66</v>
      </c>
    </row>
  </sheetData>
  <mergeCells count="4">
    <mergeCell ref="B1:B4"/>
    <mergeCell ref="C1:F2"/>
    <mergeCell ref="H1:H2"/>
    <mergeCell ref="C3:F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B1:H30"/>
  <sheetViews>
    <sheetView workbookViewId="0">
      <selection activeCell="K24" sqref="K24"/>
    </sheetView>
  </sheetViews>
  <sheetFormatPr defaultColWidth="11.42578125" defaultRowHeight="15"/>
  <sheetData>
    <row r="1" spans="2:8" ht="15.75">
      <c r="B1" s="28" t="s">
        <v>0</v>
      </c>
      <c r="C1" s="31" t="s">
        <v>1</v>
      </c>
      <c r="D1" s="32"/>
      <c r="E1" s="32"/>
      <c r="F1" s="33"/>
      <c r="G1" s="8" t="s">
        <v>2</v>
      </c>
      <c r="H1" s="37" t="s">
        <v>3</v>
      </c>
    </row>
    <row r="2" spans="2:8" ht="16.5" thickBot="1">
      <c r="B2" s="29"/>
      <c r="C2" s="34"/>
      <c r="D2" s="35"/>
      <c r="E2" s="35"/>
      <c r="F2" s="36"/>
      <c r="G2" s="9" t="s">
        <v>4</v>
      </c>
      <c r="H2" s="38"/>
    </row>
    <row r="3" spans="2:8" ht="15.75">
      <c r="B3" s="29"/>
      <c r="C3" s="31" t="s">
        <v>5</v>
      </c>
      <c r="D3" s="32"/>
      <c r="E3" s="32"/>
      <c r="F3" s="33"/>
      <c r="G3" s="10" t="s">
        <v>6</v>
      </c>
      <c r="H3" s="10" t="s">
        <v>7</v>
      </c>
    </row>
    <row r="4" spans="2:8" ht="16.5" thickBot="1">
      <c r="B4" s="30"/>
      <c r="C4" s="34"/>
      <c r="D4" s="35"/>
      <c r="E4" s="35"/>
      <c r="F4" s="36"/>
      <c r="G4" s="11">
        <v>42829</v>
      </c>
      <c r="H4" s="9">
        <v>1</v>
      </c>
    </row>
    <row r="7" spans="2:8">
      <c r="B7" s="21" t="s">
        <v>26</v>
      </c>
      <c r="C7" s="21" t="s">
        <v>27</v>
      </c>
      <c r="D7" s="21" t="s">
        <v>28</v>
      </c>
      <c r="E7" s="21" t="s">
        <v>11</v>
      </c>
      <c r="F7" s="21" t="s">
        <v>12</v>
      </c>
      <c r="G7" s="21" t="s">
        <v>13</v>
      </c>
      <c r="H7" s="21" t="s">
        <v>14</v>
      </c>
    </row>
    <row r="8" spans="2:8">
      <c r="B8" t="s">
        <v>29</v>
      </c>
      <c r="C8">
        <v>553</v>
      </c>
      <c r="D8">
        <v>546.9</v>
      </c>
      <c r="E8">
        <v>3</v>
      </c>
      <c r="F8">
        <f>D8-E8</f>
        <v>543.9</v>
      </c>
      <c r="G8">
        <f>D8+E8</f>
        <v>549.9</v>
      </c>
      <c r="H8" t="str">
        <f>IF(OR(F8&lt;540,G8&gt;560),"non conforme","conforme")</f>
        <v>conforme</v>
      </c>
    </row>
    <row r="9" spans="2:8">
      <c r="B9" t="s">
        <v>30</v>
      </c>
      <c r="C9">
        <v>553</v>
      </c>
      <c r="D9">
        <v>547.5</v>
      </c>
      <c r="E9">
        <v>3</v>
      </c>
      <c r="F9">
        <f t="shared" ref="F9:F10" si="0">D9-E9</f>
        <v>544.5</v>
      </c>
      <c r="G9">
        <f t="shared" ref="G9:G10" si="1">D9+E9</f>
        <v>550.5</v>
      </c>
      <c r="H9" t="str">
        <f t="shared" ref="H9:H10" si="2">IF(OR(F9&lt;540,G9&gt;560),"non conforme","conforme")</f>
        <v>conforme</v>
      </c>
    </row>
    <row r="10" spans="2:8">
      <c r="B10" t="s">
        <v>31</v>
      </c>
      <c r="C10">
        <v>553</v>
      </c>
      <c r="D10">
        <v>550.29999999999995</v>
      </c>
      <c r="E10">
        <v>3</v>
      </c>
      <c r="F10">
        <f t="shared" si="0"/>
        <v>547.29999999999995</v>
      </c>
      <c r="G10">
        <f t="shared" si="1"/>
        <v>553.29999999999995</v>
      </c>
      <c r="H10" t="str">
        <f t="shared" si="2"/>
        <v>conforme</v>
      </c>
    </row>
    <row r="29" spans="3:5">
      <c r="C29" s="48" t="s">
        <v>32</v>
      </c>
      <c r="D29" s="48"/>
      <c r="E29" s="48"/>
    </row>
    <row r="30" spans="3:5">
      <c r="C30" s="48"/>
      <c r="D30" s="48"/>
      <c r="E30" s="48"/>
    </row>
  </sheetData>
  <mergeCells count="5">
    <mergeCell ref="B1:B4"/>
    <mergeCell ref="C1:F2"/>
    <mergeCell ref="H1:H2"/>
    <mergeCell ref="C3:F4"/>
    <mergeCell ref="C29:E30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B1:P29"/>
  <sheetViews>
    <sheetView workbookViewId="0">
      <selection activeCell="J7" sqref="J7:P10"/>
    </sheetView>
  </sheetViews>
  <sheetFormatPr defaultColWidth="11.42578125" defaultRowHeight="15"/>
  <cols>
    <col min="8" max="8" width="16" customWidth="1"/>
  </cols>
  <sheetData>
    <row r="1" spans="2:16" ht="15.75">
      <c r="B1" s="28" t="s">
        <v>0</v>
      </c>
      <c r="C1" s="31" t="s">
        <v>1</v>
      </c>
      <c r="D1" s="32"/>
      <c r="E1" s="32"/>
      <c r="F1" s="33"/>
      <c r="G1" s="8" t="s">
        <v>2</v>
      </c>
      <c r="H1" s="37" t="s">
        <v>3</v>
      </c>
    </row>
    <row r="2" spans="2:16" ht="16.5" thickBot="1">
      <c r="B2" s="29"/>
      <c r="C2" s="34"/>
      <c r="D2" s="35"/>
      <c r="E2" s="35"/>
      <c r="F2" s="36"/>
      <c r="G2" s="9" t="s">
        <v>4</v>
      </c>
      <c r="H2" s="38"/>
    </row>
    <row r="3" spans="2:16" ht="15.75">
      <c r="B3" s="29"/>
      <c r="C3" s="31" t="s">
        <v>5</v>
      </c>
      <c r="D3" s="32"/>
      <c r="E3" s="32"/>
      <c r="F3" s="33"/>
      <c r="G3" s="10" t="s">
        <v>6</v>
      </c>
      <c r="H3" s="10" t="s">
        <v>7</v>
      </c>
    </row>
    <row r="4" spans="2:16" ht="16.5" thickBot="1">
      <c r="B4" s="30"/>
      <c r="C4" s="34"/>
      <c r="D4" s="35"/>
      <c r="E4" s="35"/>
      <c r="F4" s="36"/>
      <c r="G4" s="11">
        <v>42829</v>
      </c>
      <c r="H4" s="9">
        <v>1</v>
      </c>
    </row>
    <row r="7" spans="2:16">
      <c r="B7" s="21" t="s">
        <v>26</v>
      </c>
      <c r="C7" s="21" t="s">
        <v>27</v>
      </c>
      <c r="D7" s="21" t="s">
        <v>28</v>
      </c>
      <c r="E7" s="21" t="s">
        <v>11</v>
      </c>
      <c r="F7" s="21" t="s">
        <v>12</v>
      </c>
      <c r="G7" s="21" t="s">
        <v>13</v>
      </c>
      <c r="H7" s="21" t="s">
        <v>14</v>
      </c>
      <c r="J7" s="21"/>
      <c r="K7" s="21"/>
      <c r="L7" s="21"/>
      <c r="M7" s="21"/>
      <c r="N7" s="21"/>
      <c r="O7" s="21"/>
      <c r="P7" s="21"/>
    </row>
    <row r="8" spans="2:16">
      <c r="B8" t="s">
        <v>29</v>
      </c>
      <c r="C8">
        <v>555</v>
      </c>
      <c r="D8">
        <v>548.6</v>
      </c>
      <c r="E8">
        <v>3</v>
      </c>
      <c r="F8">
        <f>D8-E8</f>
        <v>545.6</v>
      </c>
      <c r="G8">
        <f>D8+E8</f>
        <v>551.6</v>
      </c>
      <c r="H8" s="2" t="str">
        <f>IF(OR(F8&lt;540,G8&gt;560),"non conforme","conforme")</f>
        <v>conforme</v>
      </c>
      <c r="P8" s="2"/>
    </row>
    <row r="9" spans="2:16">
      <c r="B9" t="s">
        <v>30</v>
      </c>
      <c r="C9">
        <v>555</v>
      </c>
      <c r="D9">
        <v>550.4</v>
      </c>
      <c r="E9">
        <v>3</v>
      </c>
      <c r="F9">
        <f>D9-E9</f>
        <v>547.4</v>
      </c>
      <c r="G9">
        <f>D9+E9</f>
        <v>553.4</v>
      </c>
      <c r="H9" s="2" t="str">
        <f t="shared" ref="H9:H10" si="0">IF(OR(F9&lt;540,G9&gt;560),"non conforme","conforme")</f>
        <v>conforme</v>
      </c>
      <c r="P9" s="2"/>
    </row>
    <row r="10" spans="2:16">
      <c r="B10" t="s">
        <v>31</v>
      </c>
      <c r="C10">
        <v>555</v>
      </c>
      <c r="D10">
        <v>556</v>
      </c>
      <c r="E10">
        <v>3</v>
      </c>
      <c r="F10">
        <f t="shared" ref="F10" si="1">D10-E10</f>
        <v>553</v>
      </c>
      <c r="G10">
        <f t="shared" ref="G10" si="2">D10+E10</f>
        <v>559</v>
      </c>
      <c r="H10" s="2" t="str">
        <f t="shared" si="0"/>
        <v>conforme</v>
      </c>
      <c r="P10" s="2"/>
    </row>
    <row r="12" spans="2:16">
      <c r="G12" s="16"/>
    </row>
    <row r="13" spans="2:16">
      <c r="G13" s="16"/>
    </row>
    <row r="14" spans="2:16">
      <c r="G14" s="1"/>
    </row>
    <row r="28" spans="3:5">
      <c r="C28" s="48" t="s">
        <v>33</v>
      </c>
      <c r="D28" s="48"/>
      <c r="E28" s="48"/>
    </row>
    <row r="29" spans="3:5">
      <c r="C29" s="48"/>
      <c r="D29" s="48"/>
      <c r="E29" s="48"/>
    </row>
  </sheetData>
  <mergeCells count="5">
    <mergeCell ref="B1:B4"/>
    <mergeCell ref="C1:F2"/>
    <mergeCell ref="H1:H2"/>
    <mergeCell ref="C3:F4"/>
    <mergeCell ref="C28:E29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I12"/>
  <sheetViews>
    <sheetView workbookViewId="0">
      <selection activeCell="D13" sqref="D13"/>
    </sheetView>
  </sheetViews>
  <sheetFormatPr defaultColWidth="11.42578125" defaultRowHeight="15"/>
  <sheetData>
    <row r="1" spans="1:9" ht="15.75">
      <c r="C1" s="28" t="s">
        <v>0</v>
      </c>
      <c r="D1" s="31" t="s">
        <v>1</v>
      </c>
      <c r="E1" s="32"/>
      <c r="F1" s="32"/>
      <c r="G1" s="33"/>
      <c r="H1" s="8" t="s">
        <v>2</v>
      </c>
      <c r="I1" s="37" t="s">
        <v>3</v>
      </c>
    </row>
    <row r="2" spans="1:9" ht="16.5" thickBot="1">
      <c r="C2" s="29"/>
      <c r="D2" s="34"/>
      <c r="E2" s="35"/>
      <c r="F2" s="35"/>
      <c r="G2" s="36"/>
      <c r="H2" s="9" t="s">
        <v>4</v>
      </c>
      <c r="I2" s="38"/>
    </row>
    <row r="3" spans="1:9" ht="15.75">
      <c r="C3" s="29"/>
      <c r="D3" s="31" t="s">
        <v>5</v>
      </c>
      <c r="E3" s="32"/>
      <c r="F3" s="32"/>
      <c r="G3" s="33"/>
      <c r="H3" s="10" t="s">
        <v>6</v>
      </c>
      <c r="I3" s="10" t="s">
        <v>7</v>
      </c>
    </row>
    <row r="4" spans="1:9" ht="16.5" thickBot="1">
      <c r="C4" s="30"/>
      <c r="D4" s="34"/>
      <c r="E4" s="35"/>
      <c r="F4" s="35"/>
      <c r="G4" s="36"/>
      <c r="H4" s="11">
        <v>42829</v>
      </c>
      <c r="I4" s="9">
        <v>1</v>
      </c>
    </row>
    <row r="7" spans="1:9">
      <c r="B7" t="s">
        <v>15</v>
      </c>
      <c r="C7" t="s">
        <v>16</v>
      </c>
      <c r="D7" t="s">
        <v>11</v>
      </c>
      <c r="E7" t="s">
        <v>17</v>
      </c>
      <c r="F7" t="s">
        <v>18</v>
      </c>
      <c r="G7" t="s">
        <v>14</v>
      </c>
    </row>
    <row r="8" spans="1:9">
      <c r="A8">
        <v>1</v>
      </c>
      <c r="B8">
        <v>45</v>
      </c>
      <c r="C8">
        <v>45</v>
      </c>
      <c r="D8">
        <v>0.41</v>
      </c>
      <c r="E8">
        <f>C8-D8</f>
        <v>44.59</v>
      </c>
      <c r="F8">
        <f>C8+D8</f>
        <v>45.41</v>
      </c>
      <c r="G8" t="str">
        <f>IF(AND(E8&gt;44,F8&lt;47),"conforme","non conforme")</f>
        <v>conforme</v>
      </c>
    </row>
    <row r="9" spans="1:9">
      <c r="A9">
        <v>2</v>
      </c>
      <c r="B9">
        <v>45</v>
      </c>
      <c r="C9">
        <v>44.6</v>
      </c>
      <c r="D9">
        <v>0.42</v>
      </c>
      <c r="E9">
        <f t="shared" ref="E9:E12" si="0">C9-D9</f>
        <v>44.18</v>
      </c>
      <c r="F9">
        <f t="shared" ref="F9:F12" si="1">C9+D9</f>
        <v>45.02</v>
      </c>
      <c r="G9" t="str">
        <f t="shared" ref="G9:G12" si="2">IF(AND(E9&gt;44,F9&lt;47),"conforme","non conforme")</f>
        <v>conforme</v>
      </c>
    </row>
    <row r="10" spans="1:9">
      <c r="A10">
        <v>3</v>
      </c>
      <c r="B10">
        <v>45</v>
      </c>
      <c r="C10">
        <v>44.9</v>
      </c>
      <c r="D10">
        <v>0.37</v>
      </c>
      <c r="E10">
        <f t="shared" si="0"/>
        <v>44.53</v>
      </c>
      <c r="F10">
        <f t="shared" si="1"/>
        <v>45.269999999999996</v>
      </c>
      <c r="G10" t="str">
        <f t="shared" si="2"/>
        <v>conforme</v>
      </c>
    </row>
    <row r="11" spans="1:9">
      <c r="A11">
        <v>4</v>
      </c>
      <c r="B11">
        <v>45</v>
      </c>
      <c r="C11">
        <v>45</v>
      </c>
      <c r="D11">
        <v>0.39</v>
      </c>
      <c r="E11">
        <f t="shared" si="0"/>
        <v>44.61</v>
      </c>
      <c r="F11">
        <f t="shared" si="1"/>
        <v>45.39</v>
      </c>
      <c r="G11" t="str">
        <f t="shared" si="2"/>
        <v>conforme</v>
      </c>
    </row>
    <row r="12" spans="1:9">
      <c r="A12">
        <v>5</v>
      </c>
      <c r="B12">
        <v>45</v>
      </c>
      <c r="C12">
        <v>44.9</v>
      </c>
      <c r="D12">
        <v>0.45</v>
      </c>
      <c r="E12">
        <f t="shared" si="0"/>
        <v>44.449999999999996</v>
      </c>
      <c r="F12">
        <f t="shared" si="1"/>
        <v>45.35</v>
      </c>
      <c r="G12" t="str">
        <f t="shared" si="2"/>
        <v>conforme</v>
      </c>
    </row>
  </sheetData>
  <mergeCells count="4">
    <mergeCell ref="C1:C4"/>
    <mergeCell ref="D1:G2"/>
    <mergeCell ref="I1:I2"/>
    <mergeCell ref="D3:G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I17"/>
  <sheetViews>
    <sheetView workbookViewId="0">
      <selection activeCell="D17" sqref="D17"/>
    </sheetView>
  </sheetViews>
  <sheetFormatPr defaultColWidth="11.42578125" defaultRowHeight="15"/>
  <cols>
    <col min="7" max="7" width="14.28515625" customWidth="1"/>
  </cols>
  <sheetData>
    <row r="1" spans="1:9" ht="15.75">
      <c r="C1" s="28" t="s">
        <v>0</v>
      </c>
      <c r="D1" s="31" t="s">
        <v>1</v>
      </c>
      <c r="E1" s="32"/>
      <c r="F1" s="32"/>
      <c r="G1" s="33"/>
      <c r="H1" s="8" t="s">
        <v>2</v>
      </c>
      <c r="I1" s="37" t="s">
        <v>3</v>
      </c>
    </row>
    <row r="2" spans="1:9" ht="16.5" thickBot="1">
      <c r="C2" s="29"/>
      <c r="D2" s="34"/>
      <c r="E2" s="35"/>
      <c r="F2" s="35"/>
      <c r="G2" s="36"/>
      <c r="H2" s="9" t="s">
        <v>4</v>
      </c>
      <c r="I2" s="38"/>
    </row>
    <row r="3" spans="1:9" ht="15.75">
      <c r="C3" s="29"/>
      <c r="D3" s="31" t="s">
        <v>5</v>
      </c>
      <c r="E3" s="32"/>
      <c r="F3" s="32"/>
      <c r="G3" s="33"/>
      <c r="H3" s="10" t="s">
        <v>6</v>
      </c>
      <c r="I3" s="10" t="s">
        <v>7</v>
      </c>
    </row>
    <row r="4" spans="1:9" ht="16.5" thickBot="1">
      <c r="C4" s="30"/>
      <c r="D4" s="34"/>
      <c r="E4" s="35"/>
      <c r="F4" s="35"/>
      <c r="G4" s="36"/>
      <c r="H4" s="11">
        <v>42829</v>
      </c>
      <c r="I4" s="9">
        <v>1</v>
      </c>
    </row>
    <row r="7" spans="1:9">
      <c r="B7" t="s">
        <v>15</v>
      </c>
      <c r="C7" t="s">
        <v>16</v>
      </c>
      <c r="D7" t="s">
        <v>11</v>
      </c>
      <c r="E7" t="s">
        <v>17</v>
      </c>
      <c r="F7" t="s">
        <v>18</v>
      </c>
      <c r="G7" s="22" t="s">
        <v>14</v>
      </c>
    </row>
    <row r="8" spans="1:9">
      <c r="A8">
        <v>1</v>
      </c>
      <c r="B8">
        <v>175</v>
      </c>
      <c r="C8">
        <v>173.6</v>
      </c>
      <c r="D8">
        <v>0.68</v>
      </c>
      <c r="E8">
        <f>C8-D8</f>
        <v>172.92</v>
      </c>
      <c r="F8">
        <f>C8+D8</f>
        <v>174.28</v>
      </c>
      <c r="G8" s="3" t="str">
        <f>IF(AND(E8&gt;170,F8&lt;180),"conforme","non conforme")</f>
        <v>conforme</v>
      </c>
    </row>
    <row r="9" spans="1:9">
      <c r="A9">
        <v>2</v>
      </c>
      <c r="B9">
        <v>175</v>
      </c>
      <c r="C9">
        <v>174.7</v>
      </c>
      <c r="D9">
        <v>0.67</v>
      </c>
      <c r="E9">
        <f t="shared" ref="E9:E16" si="0">C9-D9</f>
        <v>174.03</v>
      </c>
      <c r="F9">
        <f t="shared" ref="F9:F16" si="1">C9+D9</f>
        <v>175.36999999999998</v>
      </c>
      <c r="G9" s="3" t="str">
        <f t="shared" ref="G9:G16" si="2">IF(AND(E9&gt;170,F9&lt;180),"conforme","non conforme")</f>
        <v>conforme</v>
      </c>
    </row>
    <row r="10" spans="1:9">
      <c r="A10">
        <v>3</v>
      </c>
      <c r="B10">
        <v>175</v>
      </c>
      <c r="C10">
        <v>174.5</v>
      </c>
      <c r="D10">
        <v>0.69</v>
      </c>
      <c r="E10">
        <f t="shared" si="0"/>
        <v>173.81</v>
      </c>
      <c r="F10">
        <f t="shared" si="1"/>
        <v>175.19</v>
      </c>
      <c r="G10" s="3" t="str">
        <f t="shared" si="2"/>
        <v>conforme</v>
      </c>
    </row>
    <row r="11" spans="1:9">
      <c r="A11">
        <v>4</v>
      </c>
      <c r="B11">
        <v>175</v>
      </c>
      <c r="C11">
        <v>172.1</v>
      </c>
      <c r="D11">
        <v>0.68</v>
      </c>
      <c r="E11">
        <f t="shared" si="0"/>
        <v>171.42</v>
      </c>
      <c r="F11">
        <f t="shared" si="1"/>
        <v>172.78</v>
      </c>
      <c r="G11" s="3" t="str">
        <f t="shared" si="2"/>
        <v>conforme</v>
      </c>
    </row>
    <row r="12" spans="1:9">
      <c r="A12">
        <v>5</v>
      </c>
      <c r="B12">
        <v>175</v>
      </c>
      <c r="C12">
        <v>173.6</v>
      </c>
      <c r="D12">
        <v>0.67</v>
      </c>
      <c r="E12">
        <f t="shared" si="0"/>
        <v>172.93</v>
      </c>
      <c r="F12">
        <f t="shared" si="1"/>
        <v>174.26999999999998</v>
      </c>
      <c r="G12" s="3" t="str">
        <f t="shared" si="2"/>
        <v>conforme</v>
      </c>
    </row>
    <row r="13" spans="1:9">
      <c r="A13">
        <v>6</v>
      </c>
      <c r="B13">
        <v>175</v>
      </c>
      <c r="C13">
        <v>173.6</v>
      </c>
      <c r="D13">
        <v>0.68</v>
      </c>
      <c r="E13">
        <f t="shared" si="0"/>
        <v>172.92</v>
      </c>
      <c r="F13">
        <f t="shared" si="1"/>
        <v>174.28</v>
      </c>
      <c r="G13" s="3" t="str">
        <f t="shared" si="2"/>
        <v>conforme</v>
      </c>
    </row>
    <row r="14" spans="1:9">
      <c r="A14">
        <v>7</v>
      </c>
      <c r="B14">
        <v>175</v>
      </c>
      <c r="C14">
        <v>175</v>
      </c>
      <c r="D14">
        <v>0.68</v>
      </c>
      <c r="E14">
        <f t="shared" si="0"/>
        <v>174.32</v>
      </c>
      <c r="F14">
        <f t="shared" si="1"/>
        <v>175.68</v>
      </c>
      <c r="G14" s="3" t="str">
        <f t="shared" si="2"/>
        <v>conforme</v>
      </c>
    </row>
    <row r="15" spans="1:9">
      <c r="A15">
        <v>8</v>
      </c>
      <c r="B15">
        <v>175</v>
      </c>
      <c r="C15">
        <v>176.5</v>
      </c>
      <c r="D15">
        <v>0.7</v>
      </c>
      <c r="E15">
        <f t="shared" si="0"/>
        <v>175.8</v>
      </c>
      <c r="F15">
        <f t="shared" si="1"/>
        <v>177.2</v>
      </c>
      <c r="G15" s="3" t="str">
        <f t="shared" si="2"/>
        <v>conforme</v>
      </c>
    </row>
    <row r="16" spans="1:9">
      <c r="A16">
        <v>9</v>
      </c>
      <c r="B16">
        <v>175</v>
      </c>
      <c r="C16">
        <v>177.4</v>
      </c>
      <c r="D16">
        <v>0.69</v>
      </c>
      <c r="E16">
        <f t="shared" si="0"/>
        <v>176.71</v>
      </c>
      <c r="F16">
        <f t="shared" si="1"/>
        <v>178.09</v>
      </c>
      <c r="G16" s="3" t="str">
        <f t="shared" si="2"/>
        <v>conforme</v>
      </c>
    </row>
    <row r="17" spans="3:3">
      <c r="C17" s="3"/>
    </row>
  </sheetData>
  <mergeCells count="4">
    <mergeCell ref="C1:C4"/>
    <mergeCell ref="D1:G2"/>
    <mergeCell ref="I1:I2"/>
    <mergeCell ref="D3:G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O30"/>
  <sheetViews>
    <sheetView workbookViewId="0">
      <selection activeCell="D15" sqref="D15"/>
    </sheetView>
  </sheetViews>
  <sheetFormatPr defaultColWidth="11.42578125" defaultRowHeight="15"/>
  <cols>
    <col min="7" max="7" width="13.42578125" bestFit="1" customWidth="1"/>
  </cols>
  <sheetData>
    <row r="1" spans="1:15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1:15" ht="16.5" thickBot="1">
      <c r="B2" s="43"/>
      <c r="C2" s="29"/>
      <c r="D2" s="40"/>
      <c r="E2" s="40"/>
      <c r="F2" s="40"/>
      <c r="G2" s="9" t="s">
        <v>4</v>
      </c>
      <c r="H2" s="38"/>
    </row>
    <row r="3" spans="1:15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1:15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1:15" ht="15.75">
      <c r="B5" t="s">
        <v>15</v>
      </c>
      <c r="C5" t="s">
        <v>16</v>
      </c>
      <c r="D5" t="s">
        <v>11</v>
      </c>
      <c r="E5" t="s">
        <v>17</v>
      </c>
      <c r="F5" t="s">
        <v>18</v>
      </c>
      <c r="G5" s="10" t="s">
        <v>14</v>
      </c>
    </row>
    <row r="6" spans="1:15" ht="15.75">
      <c r="A6">
        <v>1</v>
      </c>
      <c r="B6">
        <v>36.5</v>
      </c>
      <c r="C6">
        <v>37</v>
      </c>
      <c r="D6">
        <v>0.37</v>
      </c>
      <c r="E6">
        <f>C6-D6</f>
        <v>36.630000000000003</v>
      </c>
      <c r="F6">
        <f>C6+D6</f>
        <v>37.369999999999997</v>
      </c>
      <c r="G6" t="str">
        <f>IF(AND(E6&gt;36,F6&lt;38),"conforme","non conforme")</f>
        <v>conforme</v>
      </c>
      <c r="O6" s="10"/>
    </row>
    <row r="7" spans="1:15">
      <c r="A7">
        <v>2</v>
      </c>
      <c r="B7">
        <v>36.5</v>
      </c>
      <c r="C7">
        <v>37</v>
      </c>
      <c r="D7">
        <v>0.38</v>
      </c>
      <c r="E7">
        <f t="shared" ref="E7:E14" si="0">C7-D7</f>
        <v>36.619999999999997</v>
      </c>
      <c r="F7">
        <f t="shared" ref="F7:F14" si="1">C7+D7</f>
        <v>37.380000000000003</v>
      </c>
      <c r="G7" t="str">
        <f t="shared" ref="G7:G14" si="2">IF(AND(E7&gt;36,F7&lt;38),"conforme","non conforme")</f>
        <v>conforme</v>
      </c>
    </row>
    <row r="8" spans="1:15">
      <c r="A8">
        <v>3</v>
      </c>
      <c r="B8">
        <v>36.5</v>
      </c>
      <c r="C8">
        <v>37.1</v>
      </c>
      <c r="D8">
        <v>0.36</v>
      </c>
      <c r="E8">
        <f t="shared" si="0"/>
        <v>36.74</v>
      </c>
      <c r="F8">
        <f t="shared" si="1"/>
        <v>37.46</v>
      </c>
      <c r="G8" t="str">
        <f t="shared" si="2"/>
        <v>conforme</v>
      </c>
      <c r="H8" s="25"/>
    </row>
    <row r="9" spans="1:15">
      <c r="A9">
        <v>4</v>
      </c>
      <c r="B9">
        <v>36.5</v>
      </c>
      <c r="C9">
        <v>37.1</v>
      </c>
      <c r="D9">
        <v>0.37</v>
      </c>
      <c r="E9">
        <f t="shared" si="0"/>
        <v>36.730000000000004</v>
      </c>
      <c r="F9">
        <f t="shared" si="1"/>
        <v>37.47</v>
      </c>
      <c r="G9" t="str">
        <f t="shared" si="2"/>
        <v>conforme</v>
      </c>
      <c r="H9" s="25"/>
    </row>
    <row r="10" spans="1:15">
      <c r="A10">
        <v>5</v>
      </c>
      <c r="B10">
        <v>36.5</v>
      </c>
      <c r="C10">
        <v>36.9</v>
      </c>
      <c r="D10">
        <v>0.38</v>
      </c>
      <c r="E10">
        <f t="shared" si="0"/>
        <v>36.519999999999996</v>
      </c>
      <c r="F10">
        <f t="shared" si="1"/>
        <v>37.28</v>
      </c>
      <c r="G10" t="str">
        <f t="shared" si="2"/>
        <v>conforme</v>
      </c>
      <c r="H10" s="25"/>
    </row>
    <row r="11" spans="1:15">
      <c r="A11">
        <v>6</v>
      </c>
      <c r="B11">
        <v>36.5</v>
      </c>
      <c r="C11">
        <v>36.700000000000003</v>
      </c>
      <c r="D11">
        <v>0.36</v>
      </c>
      <c r="E11">
        <f t="shared" si="0"/>
        <v>36.340000000000003</v>
      </c>
      <c r="F11">
        <f t="shared" si="1"/>
        <v>37.06</v>
      </c>
      <c r="G11" t="str">
        <f t="shared" si="2"/>
        <v>conforme</v>
      </c>
    </row>
    <row r="12" spans="1:15">
      <c r="A12">
        <v>7</v>
      </c>
      <c r="B12">
        <v>36.5</v>
      </c>
      <c r="C12">
        <v>36.700000000000003</v>
      </c>
      <c r="D12">
        <v>0.36</v>
      </c>
      <c r="E12">
        <f t="shared" si="0"/>
        <v>36.340000000000003</v>
      </c>
      <c r="F12">
        <f t="shared" si="1"/>
        <v>37.06</v>
      </c>
      <c r="G12" t="str">
        <f t="shared" si="2"/>
        <v>conforme</v>
      </c>
    </row>
    <row r="13" spans="1:15">
      <c r="A13">
        <v>8</v>
      </c>
      <c r="B13">
        <v>36.5</v>
      </c>
      <c r="C13">
        <v>37.200000000000003</v>
      </c>
      <c r="D13">
        <v>0.36</v>
      </c>
      <c r="E13">
        <f t="shared" si="0"/>
        <v>36.840000000000003</v>
      </c>
      <c r="F13">
        <f t="shared" si="1"/>
        <v>37.56</v>
      </c>
      <c r="G13" t="str">
        <f t="shared" si="2"/>
        <v>conforme</v>
      </c>
    </row>
    <row r="14" spans="1:15">
      <c r="A14">
        <v>9</v>
      </c>
      <c r="B14">
        <v>36.5</v>
      </c>
      <c r="C14">
        <v>36.6</v>
      </c>
      <c r="D14">
        <v>0.37</v>
      </c>
      <c r="E14">
        <f t="shared" si="0"/>
        <v>36.230000000000004</v>
      </c>
      <c r="F14">
        <f t="shared" si="1"/>
        <v>36.97</v>
      </c>
      <c r="G14" t="str">
        <f t="shared" si="2"/>
        <v>conforme</v>
      </c>
    </row>
    <row r="18" spans="5:15">
      <c r="F18" s="5"/>
      <c r="M18" s="5">
        <v>3</v>
      </c>
      <c r="O18">
        <v>2</v>
      </c>
    </row>
    <row r="21" spans="5:15">
      <c r="H21" s="3"/>
      <c r="L21">
        <v>4</v>
      </c>
      <c r="O21" s="3">
        <v>5</v>
      </c>
    </row>
    <row r="25" spans="5:15">
      <c r="F25" s="42"/>
      <c r="G25" s="42"/>
      <c r="M25" s="42">
        <v>1</v>
      </c>
      <c r="N25" s="42"/>
    </row>
    <row r="27" spans="5:15">
      <c r="F27" s="4"/>
      <c r="H27" s="2"/>
      <c r="L27" s="4">
        <v>7</v>
      </c>
      <c r="M27" s="4"/>
      <c r="O27" s="2">
        <v>6</v>
      </c>
    </row>
    <row r="30" spans="5:15">
      <c r="E30" s="6"/>
      <c r="H30" s="2"/>
      <c r="L30" s="27">
        <v>8</v>
      </c>
      <c r="O30" s="2">
        <v>9</v>
      </c>
    </row>
  </sheetData>
  <mergeCells count="6">
    <mergeCell ref="M25:N25"/>
    <mergeCell ref="B1:B4"/>
    <mergeCell ref="C1:F2"/>
    <mergeCell ref="H1:H2"/>
    <mergeCell ref="C3:F4"/>
    <mergeCell ref="F25:G25"/>
  </mergeCells>
  <conditionalFormatting sqref="E6:E14">
    <cfRule type="cellIs" dxfId="2" priority="4" operator="lessThan">
      <formula>36</formula>
    </cfRule>
  </conditionalFormatting>
  <conditionalFormatting sqref="F6:F14">
    <cfRule type="cellIs" dxfId="1" priority="3" operator="greaterThan">
      <formula>38</formula>
    </cfRule>
  </conditionalFormatting>
  <conditionalFormatting sqref="N7:N15">
    <cfRule type="cellIs" dxfId="0" priority="1" operator="greaterThan">
      <formula>38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MONTASSAR MAHDOUI</cp:lastModifiedBy>
  <cp:revision/>
  <dcterms:created xsi:type="dcterms:W3CDTF">2006-09-16T00:00:00Z</dcterms:created>
  <dcterms:modified xsi:type="dcterms:W3CDTF">2025-11-19T15:24:35Z</dcterms:modified>
  <cp:category/>
  <cp:contentStatus/>
</cp:coreProperties>
</file>